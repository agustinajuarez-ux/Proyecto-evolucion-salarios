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71a82d91f2470ed/Escritorio/ECONOMIA/3 AÑO/Lab Ciencia de Datos/Proyecto historia economica/Proyecto-evolucion-salarios/"/>
    </mc:Choice>
  </mc:AlternateContent>
  <xr:revisionPtr revIDLastSave="8" documentId="13_ncr:1_{A95B218E-9BA0-4EAA-B509-1EFB85E5B91C}" xr6:coauthVersionLast="47" xr6:coauthVersionMax="47" xr10:uidLastSave="{B35EC291-FDAE-4AFD-8BC9-1BA11580ED43}"/>
  <bookViews>
    <workbookView xWindow="-108" yWindow="-108" windowWidth="23256" windowHeight="12456" tabRatio="500" firstSheet="4" activeTab="6" xr2:uid="{00000000-000D-0000-FFFF-FFFF00000000}"/>
  </bookViews>
  <sheets>
    <sheet name="Notas" sheetId="1" r:id="rId1"/>
    <sheet name="PBG por tramo" sheetId="2" r:id="rId2"/>
    <sheet name="IPC INDEC" sheetId="4" r:id="rId3"/>
    <sheet name="Coeficiente de empalme (B-C)" sheetId="5" r:id="rId4"/>
    <sheet name="PBI Ferreres (nacional)" sheetId="7" r:id="rId5"/>
    <sheet name="Coeficiente de empalme (A-B)" sheetId="8" r:id="rId6"/>
    <sheet name="PBG a precios de 1999" sheetId="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8" l="1"/>
  <c r="B7" i="8" s="1"/>
  <c r="C8" i="9" s="1"/>
  <c r="B8" i="5"/>
  <c r="C44" i="9" s="1"/>
  <c r="B5" i="5"/>
  <c r="C21" i="9" s="1"/>
  <c r="F63" i="2"/>
  <c r="F62" i="2"/>
  <c r="F61" i="2"/>
  <c r="F60" i="2"/>
  <c r="F59" i="2"/>
  <c r="F58" i="2"/>
  <c r="F57" i="2"/>
  <c r="F56" i="2"/>
  <c r="F55" i="2"/>
  <c r="F54" i="2"/>
  <c r="F53" i="2"/>
  <c r="F52" i="2"/>
  <c r="F51" i="2"/>
  <c r="F50" i="2"/>
  <c r="F49" i="2"/>
  <c r="F48" i="2"/>
  <c r="F47" i="2"/>
  <c r="F46" i="2"/>
  <c r="F43" i="2"/>
  <c r="F42" i="2"/>
  <c r="F41" i="2"/>
  <c r="F40" i="2"/>
  <c r="F39" i="2"/>
  <c r="F38" i="2"/>
  <c r="F37" i="2"/>
  <c r="F36" i="2"/>
  <c r="F35" i="2"/>
  <c r="F34" i="2"/>
  <c r="F33" i="2"/>
  <c r="F32" i="2"/>
  <c r="F29" i="2"/>
  <c r="F28" i="2"/>
  <c r="F27" i="2"/>
  <c r="F26" i="2"/>
  <c r="F25" i="2"/>
  <c r="F24" i="2"/>
  <c r="F23" i="2"/>
  <c r="F20" i="2"/>
  <c r="F19" i="2"/>
  <c r="F18" i="2"/>
  <c r="F17" i="2"/>
  <c r="F16" i="2"/>
  <c r="F15" i="2"/>
  <c r="F14" i="2"/>
  <c r="F13" i="2"/>
  <c r="F12" i="2"/>
  <c r="F11" i="2"/>
  <c r="F10" i="2"/>
  <c r="F9" i="2"/>
  <c r="F8" i="2"/>
  <c r="F7" i="2"/>
  <c r="F6" i="2"/>
  <c r="C22" i="9" l="1"/>
  <c r="C23" i="9"/>
  <c r="D23" i="9" s="1"/>
  <c r="C34" i="9"/>
  <c r="C35" i="9"/>
  <c r="C46" i="9"/>
  <c r="C47" i="9"/>
  <c r="D47" i="9" s="1"/>
  <c r="C52" i="9"/>
  <c r="C55" i="9"/>
  <c r="D55" i="9" s="1"/>
  <c r="C56" i="9"/>
  <c r="D56" i="9" s="1"/>
  <c r="C19" i="9"/>
  <c r="C7" i="9"/>
  <c r="C9" i="9"/>
  <c r="D9" i="9" s="1"/>
  <c r="C20" i="9"/>
  <c r="C16" i="9"/>
  <c r="C15" i="9"/>
  <c r="C10" i="9"/>
  <c r="C18" i="9"/>
  <c r="C6" i="9"/>
  <c r="C17" i="9"/>
  <c r="D17" i="9" s="1"/>
  <c r="C5" i="9"/>
  <c r="C14" i="9"/>
  <c r="C11" i="9"/>
  <c r="D11" i="9" s="1"/>
  <c r="C13" i="9"/>
  <c r="C12" i="9"/>
  <c r="D12" i="9" s="1"/>
  <c r="D21" i="9"/>
  <c r="D22" i="9"/>
  <c r="D52" i="9"/>
  <c r="C48" i="9"/>
  <c r="C25" i="9"/>
  <c r="C39" i="9"/>
  <c r="C53" i="9"/>
  <c r="D53" i="9" s="1"/>
  <c r="C51" i="9"/>
  <c r="C40" i="9"/>
  <c r="D40" i="9" s="1"/>
  <c r="C41" i="9"/>
  <c r="D41" i="9" s="1"/>
  <c r="C49" i="9"/>
  <c r="C38" i="9"/>
  <c r="C27" i="9"/>
  <c r="C28" i="9"/>
  <c r="D28" i="9" s="1"/>
  <c r="C29" i="9"/>
  <c r="C30" i="9"/>
  <c r="C42" i="9"/>
  <c r="C54" i="9"/>
  <c r="C36" i="9"/>
  <c r="D36" i="9" s="1"/>
  <c r="C37" i="9"/>
  <c r="D37" i="9" s="1"/>
  <c r="C50" i="9"/>
  <c r="C24" i="9"/>
  <c r="D24" i="9" s="1"/>
  <c r="C26" i="9"/>
  <c r="C31" i="9"/>
  <c r="D31" i="9" s="1"/>
  <c r="C33" i="9"/>
  <c r="D33" i="9" s="1"/>
  <c r="C45" i="9"/>
  <c r="C57" i="9"/>
  <c r="C43" i="9"/>
  <c r="C32" i="9"/>
  <c r="D25" i="9" l="1"/>
  <c r="D6" i="9"/>
  <c r="D43" i="9"/>
  <c r="D30" i="9"/>
  <c r="D48" i="9"/>
  <c r="D50" i="9"/>
  <c r="D54" i="9"/>
  <c r="D42" i="9"/>
  <c r="D57" i="9"/>
  <c r="D29" i="9"/>
  <c r="D10" i="9"/>
  <c r="D35" i="9"/>
  <c r="D20" i="9"/>
  <c r="D45" i="9"/>
  <c r="D46" i="9"/>
  <c r="D26" i="9"/>
  <c r="D44" i="9"/>
  <c r="D34" i="9"/>
  <c r="D18" i="9"/>
  <c r="D13" i="9"/>
  <c r="D38" i="9"/>
  <c r="D16" i="9"/>
  <c r="D51" i="9"/>
  <c r="D19" i="9"/>
  <c r="D14" i="9"/>
  <c r="D27" i="9"/>
  <c r="D15" i="9"/>
  <c r="D49" i="9"/>
  <c r="D7" i="9"/>
  <c r="D32" i="9"/>
  <c r="D39" i="9"/>
  <c r="D8" i="9"/>
</calcChain>
</file>

<file path=xl/sharedStrings.xml><?xml version="1.0" encoding="utf-8"?>
<sst xmlns="http://schemas.openxmlformats.org/spreadsheetml/2006/main" count="222" uniqueCount="63">
  <si>
    <t>Producto Bruto Geográfico de Mendoza, 1970-2022</t>
  </si>
  <si>
    <t>Fuente original</t>
  </si>
  <si>
    <t>DEIE Mendoza — planilla 'PBG_1970-2022_variacionytasa_DEIE.xls'.</t>
  </si>
  <si>
    <t>Tramos</t>
  </si>
  <si>
    <t>Los datos se publicaron en 4 tramos, cada uno a precios constantes de un año base distinto:</t>
  </si>
  <si>
    <t xml:space="preserve">  1970-1985</t>
  </si>
  <si>
    <t>A valores constantes de 1970, en Australes.</t>
  </si>
  <si>
    <t xml:space="preserve">  1986-1993</t>
  </si>
  <si>
    <t>En pesos de 1996 (año base 1996, según la propia planilla de la DEIE).</t>
  </si>
  <si>
    <t xml:space="preserve">  1991-2003</t>
  </si>
  <si>
    <t>En miles de pesos de 1993.</t>
  </si>
  <si>
    <t xml:space="preserve">  2004-2022</t>
  </si>
  <si>
    <t>Empalme B-&gt;C</t>
  </si>
  <si>
    <t>Los tramos 1986-1993 y 1991-2003 SÍ se solapan en 1991-1993. Se usó el coeficiente de 1993 (año base del tramo largo) para reexpresar 1986-1990 en miles de pesos de 1993.</t>
  </si>
  <si>
    <t>Empalme A-&gt;B</t>
  </si>
  <si>
    <t>Base 1999</t>
  </si>
  <si>
    <t>Toda la serie empalmada (miles de $ de 1993) se reexpresó a precios de 1999 multiplicando por IPC(1999)/IPC(1993), usando el IPC INDEC nivel general, base 1999=100.</t>
  </si>
  <si>
    <t>Quiebre 2003-2004</t>
  </si>
  <si>
    <t>Hoja 'PBG índice 1970-1985'</t>
  </si>
  <si>
    <t>Queda como referencia del enfoque anterior (índice sin empalmar). La hoja 'PBG a precios de 1999' es la serie recomendada: ya incluye todo 1970-2022 en una sola unidad monetaria.</t>
  </si>
  <si>
    <t>Producto Bruto Geográfico de Mendoza — series por tramo de publicación</t>
  </si>
  <si>
    <t>Año</t>
  </si>
  <si>
    <t>Tramo</t>
  </si>
  <si>
    <t>Moneda / unidad</t>
  </si>
  <si>
    <t>Precios constantes de</t>
  </si>
  <si>
    <t>PBG</t>
  </si>
  <si>
    <t>Variación anual (%)</t>
  </si>
  <si>
    <t>1970-1985</t>
  </si>
  <si>
    <t>Australes</t>
  </si>
  <si>
    <t>1986-1993</t>
  </si>
  <si>
    <t>Pesos</t>
  </si>
  <si>
    <t>1991-2003</t>
  </si>
  <si>
    <t>Miles de pesos</t>
  </si>
  <si>
    <t>2004-2022</t>
  </si>
  <si>
    <t>IPC INDEC — Nivel general, base 1999=100</t>
  </si>
  <si>
    <t>IPC (base 1999=100)</t>
  </si>
  <si>
    <t>Coeficiente de empalme 1986-1993 -&gt; 1991-2003</t>
  </si>
  <si>
    <t>Usa el solapamiento real 1991-1993 (ancla en 1993, año base del tramo largo).</t>
  </si>
  <si>
    <t>Coef_B</t>
  </si>
  <si>
    <t>Factor de reexpresión a precios de 1999 (IPC INDEC)</t>
  </si>
  <si>
    <t>Factor_1999</t>
  </si>
  <si>
    <t>Nota</t>
  </si>
  <si>
    <t>El tramo 1970-1985 NO se empalma con este: no hay año de solapamiento con 1986-1993, y se comprobó que usar la tabla de conversión monetaria (Austral-&gt;Peso) junto con el IPC da un salto de nivel de ~30.000 veces, incompatible con la evolución real observada. Ver hoja 'PBG índice 1970-1985'.</t>
  </si>
  <si>
    <t>PBI nacional a precios de mercado — Base Ferreres (mill. de $ de 1993)</t>
  </si>
  <si>
    <t>PBI (mill. $ de 1993)</t>
  </si>
  <si>
    <t>Coeficiente de empalme 1970-1985 -&gt; 1986-1993</t>
  </si>
  <si>
    <t>g_1986 (crecimiento real, proxy PBI nacional)</t>
  </si>
  <si>
    <t>K (moneda + rebase, implícito)</t>
  </si>
  <si>
    <t>K NO es un factor de conversión monetaria puro: incluye también el recálculo metodológico de la DEIE al cambiar de año base (ver hoja 'Coeficiente de empalme (B-C)' para una comparación de magnitudes). Sirve para reconstruir la serie continua, no para aislar el tipo de cambio Austral-Peso.</t>
  </si>
  <si>
    <t>PBG Mendoza, 1970-2022 — serie única, a precios constantes de 1999</t>
  </si>
  <si>
    <t>Tramo de origen</t>
  </si>
  <si>
    <t>PBG (miles $ ctes. de 1999)</t>
  </si>
  <si>
    <t>A</t>
  </si>
  <si>
    <t>B</t>
  </si>
  <si>
    <t>C</t>
  </si>
  <si>
    <t>D</t>
  </si>
  <si>
    <t xml:space="preserve">En miles de pesos de 1993 </t>
  </si>
  <si>
    <t>No hay año de solapamiento entre 1970-1985 y 1986-1993. Se probó primero la tabla oficial de conversión monetaria (Austral-&gt;Peso) + IPC, y dio un salto de nivel de aprox 30.000 veces frente al tramo siguiente, osea que el cambio de año base implica un recálculo metodológico, no solo cambio de moneda y precios. Se resolvió usando el PBI nacional (Ferreres) como proxy del crecimiento real de Mendoza en 1986, para despejar el coeficiente de empalme implícito (ver hoja 'Coeficiente de empalme (A-B)'). Ese coeficiente combina moneda + metodología: no aísla el tipo de cambio Austral-Peso por sí solo.</t>
  </si>
  <si>
    <t>Según La DEIE, no hay registro del empalme formal entre las mediciones 1991-2003 y 2004-2022, que hubo un cambio metodológico en la forma de medir el pbg. Se dejaron como continuas por ser la única fuente disponible; el salto de +16,4% en 2004 refleja esto mismo, no un error.</t>
  </si>
  <si>
    <t>1970-1985 empalmado con el PBI nacional (Ferreres) como fuente de crecimiento real en 1986 (sin año de solapamiento). 1986-2022 empalmado con años de solapamiento reales (1991-1993).</t>
  </si>
  <si>
    <t>Sin año de solapamiento entre tramos. Se usa el crecimiento real del PBI nacional (Ferreres) de 1986 como fuente del crecimiento real de Mendoza ese año, para despejar el coeficiente que hace empalmar los dos tramos.</t>
  </si>
  <si>
    <t>Fuente: Ferreres. Se usa como fuente de crecimiento real para el empalme 1985-1986 (sin año de solapamiento en el PBG de Mendoza).</t>
  </si>
  <si>
    <t>Fuente: DEIE Mendoza y P. Olguín. Cada tramo está a precios constantes del año base indicado (ver hoja Notas).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</si>
</sst>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00"/>
    <numFmt numFmtId="166" formatCode="#,##0.000000"/>
  </numFmts>
  <fonts count="6" x14ac:knownFonts="1">
    <font>
      <sz val="11"/>
      <color theme="1"/>
      <name val="Calibri"/>
      <family val="2"/>
      <charset val="1"/>
    </font>
    <font>
      <b/>
      <sz val="13"/>
      <color rgb="FF1B2A4A"/>
      <name val="Arial"/>
      <charset val="1"/>
    </font>
    <font>
      <b/>
      <sz val="10"/>
      <name val="Arial"/>
      <charset val="1"/>
    </font>
    <font>
      <sz val="10"/>
      <name val="Arial"/>
      <charset val="1"/>
    </font>
    <font>
      <i/>
      <sz val="9"/>
      <color rgb="FF666666"/>
      <name val="Arial"/>
      <charset val="1"/>
    </font>
    <font>
      <b/>
      <sz val="10"/>
      <color rgb="FFFFFFFF"/>
      <name val="Arial"/>
      <charset val="1"/>
    </font>
  </fonts>
  <fills count="4">
    <fill>
      <patternFill patternType="none"/>
    </fill>
    <fill>
      <patternFill patternType="gray125"/>
    </fill>
    <fill>
      <patternFill patternType="solid">
        <fgColor rgb="FF1B2A4A"/>
        <bgColor rgb="FF003366"/>
      </patternFill>
    </fill>
    <fill>
      <patternFill patternType="solid">
        <fgColor rgb="FFFFF9DB"/>
        <bgColor rgb="FFFFFFFF"/>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5">
    <xf numFmtId="0" fontId="0" fillId="0" borderId="0" xfId="0"/>
    <xf numFmtId="0" fontId="3" fillId="0" borderId="0" xfId="0" applyFont="1" applyAlignment="1">
      <alignment vertical="top" wrapText="1"/>
    </xf>
    <xf numFmtId="0" fontId="2" fillId="0" borderId="0" xfId="0" applyFont="1"/>
    <xf numFmtId="0" fontId="5" fillId="2" borderId="1" xfId="0" applyFont="1" applyFill="1" applyBorder="1" applyAlignment="1">
      <alignment horizontal="center" vertical="center"/>
    </xf>
    <xf numFmtId="0" fontId="3" fillId="0" borderId="1" xfId="0" applyFont="1" applyBorder="1" applyAlignment="1">
      <alignment horizontal="center" vertical="center"/>
    </xf>
    <xf numFmtId="4" fontId="3" fillId="0" borderId="1" xfId="0" applyNumberFormat="1" applyFont="1" applyBorder="1" applyAlignment="1">
      <alignment horizontal="center" vertical="center"/>
    </xf>
    <xf numFmtId="10"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65" fontId="3" fillId="3" borderId="0" xfId="0" applyNumberFormat="1" applyFont="1" applyFill="1"/>
    <xf numFmtId="10" fontId="3" fillId="3" borderId="0" xfId="0" applyNumberFormat="1" applyFont="1" applyFill="1"/>
    <xf numFmtId="166" fontId="3" fillId="3" borderId="0" xfId="0" applyNumberFormat="1" applyFont="1" applyFill="1"/>
    <xf numFmtId="0" fontId="3" fillId="0" borderId="2" xfId="0" applyFont="1" applyBorder="1" applyAlignment="1">
      <alignment horizontal="center" vertical="center"/>
    </xf>
    <xf numFmtId="0" fontId="3" fillId="0" borderId="3" xfId="0" applyFont="1" applyBorder="1" applyAlignment="1">
      <alignment horizontal="center" vertical="center"/>
    </xf>
    <xf numFmtId="10" fontId="3" fillId="0" borderId="3" xfId="0" applyNumberFormat="1" applyFont="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4" fontId="3" fillId="0" borderId="8" xfId="0" applyNumberFormat="1" applyFont="1" applyBorder="1" applyAlignment="1">
      <alignment horizontal="center" vertical="center"/>
    </xf>
    <xf numFmtId="10" fontId="3" fillId="0" borderId="9" xfId="0" applyNumberFormat="1" applyFont="1" applyBorder="1" applyAlignment="1">
      <alignment horizontal="center" vertical="center"/>
    </xf>
    <xf numFmtId="0" fontId="1" fillId="0" borderId="0" xfId="0" applyFont="1"/>
    <xf numFmtId="0" fontId="4" fillId="0" borderId="0" xfId="0" applyFont="1"/>
    <xf numFmtId="0" fontId="3" fillId="0" borderId="0" xfId="0" applyFont="1" applyAlignment="1">
      <alignment vertical="top" wrapText="1"/>
    </xf>
    <xf numFmtId="0" fontId="4" fillId="0" borderId="0" xfId="0" applyFont="1" applyAlignment="1"/>
  </cellXfs>
  <cellStyles count="1">
    <cellStyle name="Normal" xfId="0" builtinId="0"/>
  </cellStyles>
  <dxfs count="8">
    <dxf>
      <font>
        <b val="0"/>
        <i val="0"/>
        <strike val="0"/>
        <condense val="0"/>
        <extend val="0"/>
        <outline val="0"/>
        <shadow val="0"/>
        <u val="none"/>
        <vertAlign val="baseline"/>
        <sz val="10"/>
        <color auto="1"/>
        <name val="Arial"/>
        <charset val="1"/>
        <scheme val="none"/>
      </font>
      <numFmt numFmtId="14" formatCode="0.00%"/>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charset val="1"/>
        <scheme val="none"/>
      </font>
      <numFmt numFmtId="4" formatCode="#,##0.00"/>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0"/>
        <color rgb="FFFFFFFF"/>
        <name val="Arial"/>
        <charset val="1"/>
        <scheme val="none"/>
      </font>
      <fill>
        <patternFill patternType="solid">
          <fgColor rgb="FF003366"/>
          <bgColor rgb="FF1B2A4A"/>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D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strRef>
              <c:f>'PBG a precios de 1999'!$C$4</c:f>
              <c:strCache>
                <c:ptCount val="1"/>
                <c:pt idx="0">
                  <c:v>PBG (miles $ ctes. de 1999)</c:v>
                </c:pt>
              </c:strCache>
            </c:strRef>
          </c:tx>
          <c:spPr>
            <a:ln w="28575" cap="rnd">
              <a:solidFill>
                <a:schemeClr val="accent1"/>
              </a:solidFill>
              <a:round/>
            </a:ln>
            <a:effectLst/>
          </c:spPr>
          <c:marker>
            <c:symbol val="none"/>
          </c:marker>
          <c:cat>
            <c:numRef>
              <c:f>'PBG a precios de 1999'!$A$5:$A$57</c:f>
              <c:numCache>
                <c:formatCode>General</c:formatCod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numCache>
            </c:numRef>
          </c:cat>
          <c:val>
            <c:numRef>
              <c:f>'PBG a precios de 1999'!$C$5:$C$57</c:f>
              <c:numCache>
                <c:formatCode>#,##0.00</c:formatCode>
                <c:ptCount val="53"/>
                <c:pt idx="0">
                  <c:v>5754057.3647016427</c:v>
                </c:pt>
                <c:pt idx="1">
                  <c:v>6139215.5292405849</c:v>
                </c:pt>
                <c:pt idx="2">
                  <c:v>6540345.4575139806</c:v>
                </c:pt>
                <c:pt idx="3">
                  <c:v>6688497.3349128971</c:v>
                </c:pt>
                <c:pt idx="4">
                  <c:v>7460282.3319203863</c:v>
                </c:pt>
                <c:pt idx="5">
                  <c:v>6520885.6074467134</c:v>
                </c:pt>
                <c:pt idx="6">
                  <c:v>7417690.9619618375</c:v>
                </c:pt>
                <c:pt idx="7">
                  <c:v>6987738.4255699394</c:v>
                </c:pt>
                <c:pt idx="8">
                  <c:v>7776596.6872590873</c:v>
                </c:pt>
                <c:pt idx="9">
                  <c:v>8831283.8442067616</c:v>
                </c:pt>
                <c:pt idx="10">
                  <c:v>7880137.7762962487</c:v>
                </c:pt>
                <c:pt idx="11">
                  <c:v>6459017.970912097</c:v>
                </c:pt>
                <c:pt idx="12">
                  <c:v>6616899.7733446481</c:v>
                </c:pt>
                <c:pt idx="13">
                  <c:v>7696921.452078009</c:v>
                </c:pt>
                <c:pt idx="14">
                  <c:v>7424850.7181186629</c:v>
                </c:pt>
                <c:pt idx="15">
                  <c:v>7060804.655067794</c:v>
                </c:pt>
                <c:pt idx="16">
                  <c:v>7564850.341788251</c:v>
                </c:pt>
                <c:pt idx="17">
                  <c:v>7662186.6734616216</c:v>
                </c:pt>
                <c:pt idx="18">
                  <c:v>7476209.3476174874</c:v>
                </c:pt>
                <c:pt idx="19">
                  <c:v>7163476.8417938603</c:v>
                </c:pt>
                <c:pt idx="20">
                  <c:v>7169611.0688356869</c:v>
                </c:pt>
                <c:pt idx="21">
                  <c:v>7014604.4430224905</c:v>
                </c:pt>
                <c:pt idx="22">
                  <c:v>7608953.647225867</c:v>
                </c:pt>
                <c:pt idx="23">
                  <c:v>8394703.8409033343</c:v>
                </c:pt>
                <c:pt idx="24">
                  <c:v>8758677.7459252588</c:v>
                </c:pt>
                <c:pt idx="25">
                  <c:v>8554024.2171968576</c:v>
                </c:pt>
                <c:pt idx="26">
                  <c:v>8799057.0415878613</c:v>
                </c:pt>
                <c:pt idx="27">
                  <c:v>9632521.1279348768</c:v>
                </c:pt>
                <c:pt idx="28">
                  <c:v>10262365.509435022</c:v>
                </c:pt>
                <c:pt idx="29">
                  <c:v>10007457.552320169</c:v>
                </c:pt>
                <c:pt idx="30">
                  <c:v>9736438.4054777417</c:v>
                </c:pt>
                <c:pt idx="31">
                  <c:v>9001995.9332073387</c:v>
                </c:pt>
                <c:pt idx="32">
                  <c:v>8406265.7469327673</c:v>
                </c:pt>
                <c:pt idx="33">
                  <c:v>10101895.220762277</c:v>
                </c:pt>
                <c:pt idx="34">
                  <c:v>11762122.311525308</c:v>
                </c:pt>
                <c:pt idx="35">
                  <c:v>12309223.356326474</c:v>
                </c:pt>
                <c:pt idx="36">
                  <c:v>13259436.594352694</c:v>
                </c:pt>
                <c:pt idx="37">
                  <c:v>13812573.217410319</c:v>
                </c:pt>
                <c:pt idx="38">
                  <c:v>14131050.687456433</c:v>
                </c:pt>
                <c:pt idx="39">
                  <c:v>13736909.129691008</c:v>
                </c:pt>
                <c:pt idx="40">
                  <c:v>14344401.024201935</c:v>
                </c:pt>
                <c:pt idx="41">
                  <c:v>14860479.787137467</c:v>
                </c:pt>
                <c:pt idx="42">
                  <c:v>14650114.275526542</c:v>
                </c:pt>
                <c:pt idx="43">
                  <c:v>15370910.462420139</c:v>
                </c:pt>
                <c:pt idx="44">
                  <c:v>14804605.691369256</c:v>
                </c:pt>
                <c:pt idx="45">
                  <c:v>15347103.8325994</c:v>
                </c:pt>
                <c:pt idx="46">
                  <c:v>14463992.613713844</c:v>
                </c:pt>
                <c:pt idx="47">
                  <c:v>14769528.197201794</c:v>
                </c:pt>
                <c:pt idx="48">
                  <c:v>14693941.876286181</c:v>
                </c:pt>
                <c:pt idx="49">
                  <c:v>14504929.052964482</c:v>
                </c:pt>
                <c:pt idx="50">
                  <c:v>13349577.657364719</c:v>
                </c:pt>
                <c:pt idx="51">
                  <c:v>14748324.048609359</c:v>
                </c:pt>
                <c:pt idx="52">
                  <c:v>15335413.845832191</c:v>
                </c:pt>
              </c:numCache>
            </c:numRef>
          </c:val>
          <c:smooth val="0"/>
          <c:extLst>
            <c:ext xmlns:c16="http://schemas.microsoft.com/office/drawing/2014/chart" uri="{C3380CC4-5D6E-409C-BE32-E72D297353CC}">
              <c16:uniqueId val="{00000000-2826-4DC9-98DA-F07A8E29F7B9}"/>
            </c:ext>
          </c:extLst>
        </c:ser>
        <c:dLbls>
          <c:showLegendKey val="0"/>
          <c:showVal val="0"/>
          <c:showCatName val="0"/>
          <c:showSerName val="0"/>
          <c:showPercent val="0"/>
          <c:showBubbleSize val="0"/>
        </c:dLbls>
        <c:smooth val="0"/>
        <c:axId val="843205808"/>
        <c:axId val="843200048"/>
        <c:extLst>
          <c:ext xmlns:c15="http://schemas.microsoft.com/office/drawing/2012/chart" uri="{02D57815-91ED-43cb-92C2-25804820EDAC}">
            <c15:filteredLineSeries>
              <c15:ser>
                <c:idx val="1"/>
                <c:order val="1"/>
                <c:tx>
                  <c:strRef>
                    <c:extLst>
                      <c:ext uri="{02D57815-91ED-43cb-92C2-25804820EDAC}">
                        <c15:formulaRef>
                          <c15:sqref>'PBG a precios de 1999'!$D$4</c15:sqref>
                        </c15:formulaRef>
                      </c:ext>
                    </c:extLst>
                    <c:strCache>
                      <c:ptCount val="1"/>
                      <c:pt idx="0">
                        <c:v>Variación anual (%)</c:v>
                      </c:pt>
                    </c:strCache>
                  </c:strRef>
                </c:tx>
                <c:spPr>
                  <a:ln w="28575" cap="rnd">
                    <a:solidFill>
                      <a:schemeClr val="accent2"/>
                    </a:solidFill>
                    <a:round/>
                  </a:ln>
                  <a:effectLst/>
                </c:spPr>
                <c:marker>
                  <c:symbol val="none"/>
                </c:marker>
                <c:cat>
                  <c:numRef>
                    <c:extLst>
                      <c:ext uri="{02D57815-91ED-43cb-92C2-25804820EDAC}">
                        <c15:formulaRef>
                          <c15:sqref>'PBG a precios de 1999'!$A$5:$A$57</c15:sqref>
                        </c15:formulaRef>
                      </c:ext>
                    </c:extLst>
                    <c:numCache>
                      <c:formatCode>General</c:formatCode>
                      <c:ptCount val="5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numCache>
                  </c:numRef>
                </c:cat>
                <c:val>
                  <c:numRef>
                    <c:extLst>
                      <c:ext uri="{02D57815-91ED-43cb-92C2-25804820EDAC}">
                        <c15:formulaRef>
                          <c15:sqref>'PBG a precios de 1999'!$D$5:$D$57</c15:sqref>
                        </c15:formulaRef>
                      </c:ext>
                    </c:extLst>
                    <c:numCache>
                      <c:formatCode>0.00%</c:formatCode>
                      <c:ptCount val="53"/>
                      <c:pt idx="1">
                        <c:v>6.6936796094821949E-2</c:v>
                      </c:pt>
                      <c:pt idx="2">
                        <c:v>6.5338955174785163E-2</c:v>
                      </c:pt>
                      <c:pt idx="3">
                        <c:v>2.2651995733453223E-2</c:v>
                      </c:pt>
                      <c:pt idx="4">
                        <c:v>0.11538989377761943</c:v>
                      </c:pt>
                      <c:pt idx="5">
                        <c:v>-0.12591972832640219</c:v>
                      </c:pt>
                      <c:pt idx="6">
                        <c:v>0.13752815315315314</c:v>
                      </c:pt>
                      <c:pt idx="7">
                        <c:v>-5.7963123375819881E-2</c:v>
                      </c:pt>
                      <c:pt idx="8">
                        <c:v>0.11289178467277927</c:v>
                      </c:pt>
                      <c:pt idx="9">
                        <c:v>0.13562322946175653</c:v>
                      </c:pt>
                      <c:pt idx="10">
                        <c:v>-0.10770190208917985</c:v>
                      </c:pt>
                      <c:pt idx="11">
                        <c:v>-0.18034199981362431</c:v>
                      </c:pt>
                      <c:pt idx="12">
                        <c:v>2.4443623340818288E-2</c:v>
                      </c:pt>
                      <c:pt idx="13">
                        <c:v>0.16322170740504371</c:v>
                      </c:pt>
                      <c:pt idx="14">
                        <c:v>-3.5347994084815926E-2</c:v>
                      </c:pt>
                      <c:pt idx="15">
                        <c:v>-4.9030758579764688E-2</c:v>
                      </c:pt>
                      <c:pt idx="16">
                        <c:v>7.1386437005970027E-2</c:v>
                      </c:pt>
                      <c:pt idx="17">
                        <c:v>1.2866920993226394E-2</c:v>
                      </c:pt>
                      <c:pt idx="18">
                        <c:v>-2.4272095391290383E-2</c:v>
                      </c:pt>
                      <c:pt idx="19">
                        <c:v>-4.1830356974057792E-2</c:v>
                      </c:pt>
                      <c:pt idx="20">
                        <c:v>8.5631979795586233E-4</c:v>
                      </c:pt>
                      <c:pt idx="21">
                        <c:v>-2.1619949021637663E-2</c:v>
                      </c:pt>
                      <c:pt idx="22">
                        <c:v>8.4730252294494379E-2</c:v>
                      </c:pt>
                      <c:pt idx="23">
                        <c:v>0.10326652390160662</c:v>
                      </c:pt>
                      <c:pt idx="24">
                        <c:v>4.3357563520997067E-2</c:v>
                      </c:pt>
                      <c:pt idx="25">
                        <c:v>-2.336580185560666E-2</c:v>
                      </c:pt>
                      <c:pt idx="26">
                        <c:v>2.8645327411909172E-2</c:v>
                      </c:pt>
                      <c:pt idx="27">
                        <c:v>9.4721977867370466E-2</c:v>
                      </c:pt>
                      <c:pt idx="28">
                        <c:v>6.5387282637103139E-2</c:v>
                      </c:pt>
                      <c:pt idx="29">
                        <c:v>-2.4839103312047861E-2</c:v>
                      </c:pt>
                      <c:pt idx="30">
                        <c:v>-2.7081718351090411E-2</c:v>
                      </c:pt>
                      <c:pt idx="31">
                        <c:v>-7.5432354387124145E-2</c:v>
                      </c:pt>
                      <c:pt idx="32">
                        <c:v>-6.6177566696846712E-2</c:v>
                      </c:pt>
                      <c:pt idx="33">
                        <c:v>0.20171019152567249</c:v>
                      </c:pt>
                      <c:pt idx="34">
                        <c:v>0.16434808068002815</c:v>
                      </c:pt>
                      <c:pt idx="35">
                        <c:v>4.6513803403071208E-2</c:v>
                      </c:pt>
                      <c:pt idx="36">
                        <c:v>7.7195222681360143E-2</c:v>
                      </c:pt>
                      <c:pt idx="37">
                        <c:v>4.1716449950309986E-2</c:v>
                      </c:pt>
                      <c:pt idx="38">
                        <c:v>2.3057070180426908E-2</c:v>
                      </c:pt>
                      <c:pt idx="39">
                        <c:v>-2.7891879130777397E-2</c:v>
                      </c:pt>
                      <c:pt idx="40">
                        <c:v>4.4223332102990343E-2</c:v>
                      </c:pt>
                      <c:pt idx="41">
                        <c:v>3.5977714375441838E-2</c:v>
                      </c:pt>
                      <c:pt idx="42">
                        <c:v>-1.4156037666630872E-2</c:v>
                      </c:pt>
                      <c:pt idx="43">
                        <c:v>4.9200721123227709E-2</c:v>
                      </c:pt>
                      <c:pt idx="44">
                        <c:v>-3.6842630268091425E-2</c:v>
                      </c:pt>
                      <c:pt idx="45">
                        <c:v>3.6643876408434695E-2</c:v>
                      </c:pt>
                      <c:pt idx="46">
                        <c:v>-5.754253235777973E-2</c:v>
                      </c:pt>
                      <c:pt idx="47">
                        <c:v>2.1123875796110525E-2</c:v>
                      </c:pt>
                      <c:pt idx="48">
                        <c:v>-5.1177207495317623E-3</c:v>
                      </c:pt>
                      <c:pt idx="49">
                        <c:v>-1.2863316386648838E-2</c:v>
                      </c:pt>
                      <c:pt idx="50">
                        <c:v>-7.9652330003202265E-2</c:v>
                      </c:pt>
                      <c:pt idx="51">
                        <c:v>0.1047783253631982</c:v>
                      </c:pt>
                      <c:pt idx="52">
                        <c:v>3.9807221165457873E-2</c:v>
                      </c:pt>
                    </c:numCache>
                  </c:numRef>
                </c:val>
                <c:smooth val="0"/>
                <c:extLst>
                  <c:ext xmlns:c16="http://schemas.microsoft.com/office/drawing/2014/chart" uri="{C3380CC4-5D6E-409C-BE32-E72D297353CC}">
                    <c16:uniqueId val="{00000001-2826-4DC9-98DA-F07A8E29F7B9}"/>
                  </c:ext>
                </c:extLst>
              </c15:ser>
            </c15:filteredLineSeries>
          </c:ext>
        </c:extLst>
      </c:lineChart>
      <c:catAx>
        <c:axId val="84320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43200048"/>
        <c:crosses val="autoZero"/>
        <c:auto val="1"/>
        <c:lblAlgn val="ctr"/>
        <c:lblOffset val="100"/>
        <c:noMultiLvlLbl val="0"/>
      </c:catAx>
      <c:valAx>
        <c:axId val="843200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4320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180975</xdr:colOff>
      <xdr:row>11</xdr:row>
      <xdr:rowOff>76200</xdr:rowOff>
    </xdr:from>
    <xdr:to>
      <xdr:col>22</xdr:col>
      <xdr:colOff>514350</xdr:colOff>
      <xdr:row>32</xdr:row>
      <xdr:rowOff>171456</xdr:rowOff>
    </xdr:to>
    <xdr:graphicFrame macro="">
      <xdr:nvGraphicFramePr>
        <xdr:cNvPr id="3" name="Gráfico 2">
          <a:extLst>
            <a:ext uri="{FF2B5EF4-FFF2-40B4-BE49-F238E27FC236}">
              <a16:creationId xmlns:a16="http://schemas.microsoft.com/office/drawing/2014/main" id="{967D5B50-FD20-C405-FB78-64BF0C254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1094FC-1EF8-4ACF-AD2A-75769E382932}" name="Tabla1" displayName="Tabla1" ref="A4:D57" totalsRowShown="0" headerRowDxfId="7" headerRowBorderDxfId="6" tableBorderDxfId="5" totalsRowBorderDxfId="4">
  <autoFilter ref="A4:D57" xr:uid="{741094FC-1EF8-4ACF-AD2A-75769E382932}"/>
  <tableColumns count="4">
    <tableColumn id="1" xr3:uid="{A00E71CC-573E-4A5D-884A-71559B0D0878}" name="Año" dataDxfId="3"/>
    <tableColumn id="2" xr3:uid="{365C3385-0229-438C-B36E-9788B3607800}" name="Tramo de origen" dataDxfId="2"/>
    <tableColumn id="3" xr3:uid="{19FBF4BE-C44D-4711-A3AB-20102B1B4CCB}" name="PBG (miles $ ctes. de 1999)" dataDxfId="1">
      <calculatedColumnFormula>'PBG por tramo'!E11*'Coeficiente de empalme (B-C)'!$B$8</calculatedColumnFormula>
    </tableColumn>
    <tableColumn id="4" xr3:uid="{9892B746-E94B-4597-8310-A0CF79184942}" name="Variación anual (%)" dataDxfId="0">
      <calculatedColumnFormula>C5/C4-1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opLeftCell="A10" zoomScaleNormal="100" workbookViewId="0">
      <selection activeCell="B13" sqref="B13"/>
    </sheetView>
  </sheetViews>
  <sheetFormatPr baseColWidth="10" defaultColWidth="8.6640625" defaultRowHeight="14.4" x14ac:dyDescent="0.3"/>
  <cols>
    <col min="1" max="1" width="18" customWidth="1"/>
    <col min="2" max="2" width="90" customWidth="1"/>
  </cols>
  <sheetData>
    <row r="1" spans="1:2" ht="16.8" x14ac:dyDescent="0.3">
      <c r="A1" s="21" t="s">
        <v>0</v>
      </c>
      <c r="B1" s="21"/>
    </row>
    <row r="3" spans="1:2" ht="30" customHeight="1" x14ac:dyDescent="0.3">
      <c r="A3" s="2" t="s">
        <v>1</v>
      </c>
      <c r="B3" s="1" t="s">
        <v>2</v>
      </c>
    </row>
    <row r="4" spans="1:2" ht="30" customHeight="1" x14ac:dyDescent="0.3">
      <c r="A4" s="2" t="s">
        <v>3</v>
      </c>
      <c r="B4" s="1" t="s">
        <v>4</v>
      </c>
    </row>
    <row r="5" spans="1:2" ht="30" customHeight="1" x14ac:dyDescent="0.3">
      <c r="A5" s="2" t="s">
        <v>5</v>
      </c>
      <c r="B5" s="1" t="s">
        <v>6</v>
      </c>
    </row>
    <row r="6" spans="1:2" ht="30" customHeight="1" x14ac:dyDescent="0.3">
      <c r="A6" s="2" t="s">
        <v>7</v>
      </c>
      <c r="B6" s="1" t="s">
        <v>8</v>
      </c>
    </row>
    <row r="7" spans="1:2" ht="30" customHeight="1" x14ac:dyDescent="0.3">
      <c r="A7" s="2" t="s">
        <v>9</v>
      </c>
      <c r="B7" s="1" t="s">
        <v>10</v>
      </c>
    </row>
    <row r="8" spans="1:2" ht="30" customHeight="1" x14ac:dyDescent="0.3">
      <c r="A8" s="2" t="s">
        <v>11</v>
      </c>
      <c r="B8" s="1" t="s">
        <v>56</v>
      </c>
    </row>
    <row r="9" spans="1:2" ht="69.75" customHeight="1" x14ac:dyDescent="0.3">
      <c r="A9" s="2" t="s">
        <v>12</v>
      </c>
      <c r="B9" s="1" t="s">
        <v>13</v>
      </c>
    </row>
    <row r="10" spans="1:2" ht="69.75" customHeight="1" x14ac:dyDescent="0.3">
      <c r="A10" s="2" t="s">
        <v>14</v>
      </c>
      <c r="B10" s="1" t="s">
        <v>57</v>
      </c>
    </row>
    <row r="11" spans="1:2" ht="69.75" customHeight="1" x14ac:dyDescent="0.3">
      <c r="A11" s="2" t="s">
        <v>15</v>
      </c>
      <c r="B11" s="1" t="s">
        <v>16</v>
      </c>
    </row>
    <row r="12" spans="1:2" ht="69.75" customHeight="1" x14ac:dyDescent="0.3">
      <c r="A12" s="2" t="s">
        <v>17</v>
      </c>
      <c r="B12" s="1" t="s">
        <v>58</v>
      </c>
    </row>
    <row r="13" spans="1:2" ht="69.75" customHeight="1" x14ac:dyDescent="0.3">
      <c r="A13" s="2" t="s">
        <v>18</v>
      </c>
      <c r="B13" s="1" t="s">
        <v>19</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3"/>
  <sheetViews>
    <sheetView zoomScaleNormal="100" workbookViewId="0">
      <pane ySplit="4" topLeftCell="A41" activePane="bottomLeft" state="frozen"/>
      <selection pane="bottomLeft" activeCell="A3" sqref="A3"/>
    </sheetView>
  </sheetViews>
  <sheetFormatPr baseColWidth="10" defaultColWidth="8.6640625" defaultRowHeight="14.4" x14ac:dyDescent="0.3"/>
  <cols>
    <col min="1" max="1" width="8" customWidth="1"/>
    <col min="2" max="2" width="12" customWidth="1"/>
    <col min="3" max="3" width="18" customWidth="1"/>
    <col min="4" max="4" width="20" customWidth="1"/>
    <col min="5" max="6" width="18" customWidth="1"/>
  </cols>
  <sheetData>
    <row r="1" spans="1:6" ht="16.8" x14ac:dyDescent="0.3">
      <c r="A1" s="21" t="s">
        <v>20</v>
      </c>
      <c r="B1" s="21"/>
      <c r="C1" s="21"/>
      <c r="D1" s="21"/>
      <c r="E1" s="21"/>
      <c r="F1" s="21"/>
    </row>
    <row r="2" spans="1:6" x14ac:dyDescent="0.3">
      <c r="A2" s="22" t="s">
        <v>62</v>
      </c>
      <c r="B2" s="22"/>
      <c r="C2" s="22"/>
      <c r="D2" s="22"/>
      <c r="E2" s="22"/>
      <c r="F2" s="22"/>
    </row>
    <row r="4" spans="1:6" x14ac:dyDescent="0.3">
      <c r="A4" s="3" t="s">
        <v>21</v>
      </c>
      <c r="B4" s="3" t="s">
        <v>22</v>
      </c>
      <c r="C4" s="3" t="s">
        <v>23</v>
      </c>
      <c r="D4" s="3" t="s">
        <v>24</v>
      </c>
      <c r="E4" s="3" t="s">
        <v>25</v>
      </c>
      <c r="F4" s="3" t="s">
        <v>26</v>
      </c>
    </row>
    <row r="5" spans="1:6" x14ac:dyDescent="0.3">
      <c r="A5" s="4">
        <v>1970</v>
      </c>
      <c r="B5" s="4" t="s">
        <v>27</v>
      </c>
      <c r="C5" s="4" t="s">
        <v>28</v>
      </c>
      <c r="D5" s="4">
        <v>1970</v>
      </c>
      <c r="E5" s="5">
        <v>313.43</v>
      </c>
      <c r="F5" s="4"/>
    </row>
    <row r="6" spans="1:6" x14ac:dyDescent="0.3">
      <c r="A6" s="4">
        <v>1971</v>
      </c>
      <c r="B6" s="4" t="s">
        <v>27</v>
      </c>
      <c r="C6" s="4" t="s">
        <v>28</v>
      </c>
      <c r="D6" s="4">
        <v>1970</v>
      </c>
      <c r="E6" s="5">
        <v>334.41</v>
      </c>
      <c r="F6" s="6">
        <f t="shared" ref="F6:F20" si="0">E6/E5-1</f>
        <v>6.6936796094821949E-2</v>
      </c>
    </row>
    <row r="7" spans="1:6" x14ac:dyDescent="0.3">
      <c r="A7" s="4">
        <v>1972</v>
      </c>
      <c r="B7" s="4" t="s">
        <v>27</v>
      </c>
      <c r="C7" s="4" t="s">
        <v>28</v>
      </c>
      <c r="D7" s="4">
        <v>1970</v>
      </c>
      <c r="E7" s="5">
        <v>356.26</v>
      </c>
      <c r="F7" s="6">
        <f t="shared" si="0"/>
        <v>6.5338955174785385E-2</v>
      </c>
    </row>
    <row r="8" spans="1:6" x14ac:dyDescent="0.3">
      <c r="A8" s="4">
        <v>1973</v>
      </c>
      <c r="B8" s="4" t="s">
        <v>27</v>
      </c>
      <c r="C8" s="4" t="s">
        <v>28</v>
      </c>
      <c r="D8" s="4">
        <v>1970</v>
      </c>
      <c r="E8" s="5">
        <v>364.33</v>
      </c>
      <c r="F8" s="6">
        <f t="shared" si="0"/>
        <v>2.2651995733453001E-2</v>
      </c>
    </row>
    <row r="9" spans="1:6" x14ac:dyDescent="0.3">
      <c r="A9" s="4">
        <v>1974</v>
      </c>
      <c r="B9" s="4" t="s">
        <v>27</v>
      </c>
      <c r="C9" s="4" t="s">
        <v>28</v>
      </c>
      <c r="D9" s="4">
        <v>1970</v>
      </c>
      <c r="E9" s="5">
        <v>406.37</v>
      </c>
      <c r="F9" s="6">
        <f t="shared" si="0"/>
        <v>0.11538989377761921</v>
      </c>
    </row>
    <row r="10" spans="1:6" x14ac:dyDescent="0.3">
      <c r="A10" s="4">
        <v>1975</v>
      </c>
      <c r="B10" s="4" t="s">
        <v>27</v>
      </c>
      <c r="C10" s="4" t="s">
        <v>28</v>
      </c>
      <c r="D10" s="4">
        <v>1970</v>
      </c>
      <c r="E10" s="5">
        <v>355.2</v>
      </c>
      <c r="F10" s="6">
        <f t="shared" si="0"/>
        <v>-0.12591972832640208</v>
      </c>
    </row>
    <row r="11" spans="1:6" x14ac:dyDescent="0.3">
      <c r="A11" s="4">
        <v>1976</v>
      </c>
      <c r="B11" s="4" t="s">
        <v>27</v>
      </c>
      <c r="C11" s="4" t="s">
        <v>28</v>
      </c>
      <c r="D11" s="4">
        <v>1970</v>
      </c>
      <c r="E11" s="5">
        <v>404.05</v>
      </c>
      <c r="F11" s="6">
        <f t="shared" si="0"/>
        <v>0.13752815315315314</v>
      </c>
    </row>
    <row r="12" spans="1:6" x14ac:dyDescent="0.3">
      <c r="A12" s="4">
        <v>1977</v>
      </c>
      <c r="B12" s="4" t="s">
        <v>27</v>
      </c>
      <c r="C12" s="4" t="s">
        <v>28</v>
      </c>
      <c r="D12" s="4">
        <v>1970</v>
      </c>
      <c r="E12" s="5">
        <v>380.63</v>
      </c>
      <c r="F12" s="6">
        <f t="shared" si="0"/>
        <v>-5.7963123375819881E-2</v>
      </c>
    </row>
    <row r="13" spans="1:6" x14ac:dyDescent="0.3">
      <c r="A13" s="4">
        <v>1978</v>
      </c>
      <c r="B13" s="4" t="s">
        <v>27</v>
      </c>
      <c r="C13" s="4" t="s">
        <v>28</v>
      </c>
      <c r="D13" s="4">
        <v>1970</v>
      </c>
      <c r="E13" s="5">
        <v>423.6</v>
      </c>
      <c r="F13" s="6">
        <f t="shared" si="0"/>
        <v>0.11289178467277949</v>
      </c>
    </row>
    <row r="14" spans="1:6" x14ac:dyDescent="0.3">
      <c r="A14" s="4">
        <v>1979</v>
      </c>
      <c r="B14" s="4" t="s">
        <v>27</v>
      </c>
      <c r="C14" s="4" t="s">
        <v>28</v>
      </c>
      <c r="D14" s="4">
        <v>1970</v>
      </c>
      <c r="E14" s="5">
        <v>481.05</v>
      </c>
      <c r="F14" s="6">
        <f t="shared" si="0"/>
        <v>0.13562322946175631</v>
      </c>
    </row>
    <row r="15" spans="1:6" x14ac:dyDescent="0.3">
      <c r="A15" s="4">
        <v>1980</v>
      </c>
      <c r="B15" s="4" t="s">
        <v>27</v>
      </c>
      <c r="C15" s="4" t="s">
        <v>28</v>
      </c>
      <c r="D15" s="4">
        <v>1970</v>
      </c>
      <c r="E15" s="5">
        <v>429.24</v>
      </c>
      <c r="F15" s="6">
        <f t="shared" si="0"/>
        <v>-0.10770190208917996</v>
      </c>
    </row>
    <row r="16" spans="1:6" x14ac:dyDescent="0.3">
      <c r="A16" s="4">
        <v>1981</v>
      </c>
      <c r="B16" s="4" t="s">
        <v>27</v>
      </c>
      <c r="C16" s="4" t="s">
        <v>28</v>
      </c>
      <c r="D16" s="4">
        <v>1970</v>
      </c>
      <c r="E16" s="5">
        <v>351.83</v>
      </c>
      <c r="F16" s="6">
        <f t="shared" si="0"/>
        <v>-0.18034199981362409</v>
      </c>
    </row>
    <row r="17" spans="1:6" x14ac:dyDescent="0.3">
      <c r="A17" s="4">
        <v>1982</v>
      </c>
      <c r="B17" s="4" t="s">
        <v>27</v>
      </c>
      <c r="C17" s="4" t="s">
        <v>28</v>
      </c>
      <c r="D17" s="4">
        <v>1970</v>
      </c>
      <c r="E17" s="5">
        <v>360.43</v>
      </c>
      <c r="F17" s="6">
        <f t="shared" si="0"/>
        <v>2.4443623340818066E-2</v>
      </c>
    </row>
    <row r="18" spans="1:6" x14ac:dyDescent="0.3">
      <c r="A18" s="4">
        <v>1983</v>
      </c>
      <c r="B18" s="4" t="s">
        <v>27</v>
      </c>
      <c r="C18" s="4" t="s">
        <v>28</v>
      </c>
      <c r="D18" s="4">
        <v>1970</v>
      </c>
      <c r="E18" s="5">
        <v>419.26</v>
      </c>
      <c r="F18" s="6">
        <f t="shared" si="0"/>
        <v>0.16322170740504394</v>
      </c>
    </row>
    <row r="19" spans="1:6" x14ac:dyDescent="0.3">
      <c r="A19" s="4">
        <v>1984</v>
      </c>
      <c r="B19" s="4" t="s">
        <v>27</v>
      </c>
      <c r="C19" s="4" t="s">
        <v>28</v>
      </c>
      <c r="D19" s="4">
        <v>1970</v>
      </c>
      <c r="E19" s="5">
        <v>404.44</v>
      </c>
      <c r="F19" s="6">
        <f t="shared" si="0"/>
        <v>-3.5347994084816037E-2</v>
      </c>
    </row>
    <row r="20" spans="1:6" x14ac:dyDescent="0.3">
      <c r="A20" s="4">
        <v>1985</v>
      </c>
      <c r="B20" s="4" t="s">
        <v>27</v>
      </c>
      <c r="C20" s="4" t="s">
        <v>28</v>
      </c>
      <c r="D20" s="4">
        <v>1970</v>
      </c>
      <c r="E20" s="5">
        <v>384.61</v>
      </c>
      <c r="F20" s="6">
        <f t="shared" si="0"/>
        <v>-4.9030758579764577E-2</v>
      </c>
    </row>
    <row r="22" spans="1:6" x14ac:dyDescent="0.3">
      <c r="A22" s="4">
        <v>1986</v>
      </c>
      <c r="B22" s="4" t="s">
        <v>29</v>
      </c>
      <c r="C22" s="4" t="s">
        <v>30</v>
      </c>
      <c r="D22" s="4">
        <v>1996</v>
      </c>
      <c r="E22" s="5">
        <v>267608.7</v>
      </c>
      <c r="F22" s="4"/>
    </row>
    <row r="23" spans="1:6" x14ac:dyDescent="0.3">
      <c r="A23" s="4">
        <v>1987</v>
      </c>
      <c r="B23" s="4" t="s">
        <v>29</v>
      </c>
      <c r="C23" s="4" t="s">
        <v>30</v>
      </c>
      <c r="D23" s="4">
        <v>1996</v>
      </c>
      <c r="E23" s="5">
        <v>271052</v>
      </c>
      <c r="F23" s="6">
        <f t="shared" ref="F23:F29" si="1">E23/E22-1</f>
        <v>1.2866920993226172E-2</v>
      </c>
    </row>
    <row r="24" spans="1:6" x14ac:dyDescent="0.3">
      <c r="A24" s="4">
        <v>1988</v>
      </c>
      <c r="B24" s="4" t="s">
        <v>29</v>
      </c>
      <c r="C24" s="4" t="s">
        <v>30</v>
      </c>
      <c r="D24" s="4">
        <v>1996</v>
      </c>
      <c r="E24" s="5">
        <v>264473</v>
      </c>
      <c r="F24" s="6">
        <f t="shared" si="1"/>
        <v>-2.4272095391290271E-2</v>
      </c>
    </row>
    <row r="25" spans="1:6" x14ac:dyDescent="0.3">
      <c r="A25" s="4">
        <v>1989</v>
      </c>
      <c r="B25" s="4" t="s">
        <v>29</v>
      </c>
      <c r="C25" s="4" t="s">
        <v>30</v>
      </c>
      <c r="D25" s="4">
        <v>1996</v>
      </c>
      <c r="E25" s="5">
        <v>253410</v>
      </c>
      <c r="F25" s="6">
        <f t="shared" si="1"/>
        <v>-4.1830356974057792E-2</v>
      </c>
    </row>
    <row r="26" spans="1:6" x14ac:dyDescent="0.3">
      <c r="A26" s="4">
        <v>1990</v>
      </c>
      <c r="B26" s="4" t="s">
        <v>29</v>
      </c>
      <c r="C26" s="4" t="s">
        <v>30</v>
      </c>
      <c r="D26" s="4">
        <v>1996</v>
      </c>
      <c r="E26" s="5">
        <v>253627</v>
      </c>
      <c r="F26" s="6">
        <f t="shared" si="1"/>
        <v>8.5631979795586233E-4</v>
      </c>
    </row>
    <row r="27" spans="1:6" x14ac:dyDescent="0.3">
      <c r="A27" s="4">
        <v>1991</v>
      </c>
      <c r="B27" s="4" t="s">
        <v>29</v>
      </c>
      <c r="C27" s="4" t="s">
        <v>30</v>
      </c>
      <c r="D27" s="4">
        <v>1996</v>
      </c>
      <c r="E27" s="5">
        <v>259579</v>
      </c>
      <c r="F27" s="6">
        <f t="shared" si="1"/>
        <v>2.3467533030789411E-2</v>
      </c>
    </row>
    <row r="28" spans="1:6" x14ac:dyDescent="0.3">
      <c r="A28" s="4">
        <v>1992</v>
      </c>
      <c r="B28" s="4" t="s">
        <v>29</v>
      </c>
      <c r="C28" s="4" t="s">
        <v>30</v>
      </c>
      <c r="D28" s="4">
        <v>1996</v>
      </c>
      <c r="E28" s="5">
        <v>277469</v>
      </c>
      <c r="F28" s="6">
        <f t="shared" si="1"/>
        <v>6.891928854029028E-2</v>
      </c>
    </row>
    <row r="29" spans="1:6" x14ac:dyDescent="0.3">
      <c r="A29" s="4">
        <v>1993</v>
      </c>
      <c r="B29" s="4" t="s">
        <v>29</v>
      </c>
      <c r="C29" s="4" t="s">
        <v>30</v>
      </c>
      <c r="D29" s="4">
        <v>1996</v>
      </c>
      <c r="E29" s="5">
        <v>296965</v>
      </c>
      <c r="F29" s="6">
        <f t="shared" si="1"/>
        <v>7.0263705134627763E-2</v>
      </c>
    </row>
    <row r="31" spans="1:6" x14ac:dyDescent="0.3">
      <c r="A31" s="4">
        <v>1991</v>
      </c>
      <c r="B31" s="4" t="s">
        <v>31</v>
      </c>
      <c r="C31" s="4" t="s">
        <v>32</v>
      </c>
      <c r="D31" s="4">
        <v>1993</v>
      </c>
      <c r="E31" s="5">
        <v>6485506.9469233304</v>
      </c>
      <c r="F31" s="4"/>
    </row>
    <row r="32" spans="1:6" x14ac:dyDescent="0.3">
      <c r="A32" s="4">
        <v>1992</v>
      </c>
      <c r="B32" s="4" t="s">
        <v>31</v>
      </c>
      <c r="C32" s="4" t="s">
        <v>32</v>
      </c>
      <c r="D32" s="4">
        <v>1993</v>
      </c>
      <c r="E32" s="5">
        <v>7035025.5867938399</v>
      </c>
      <c r="F32" s="6">
        <f t="shared" ref="F32:F43" si="2">E32/E31-1</f>
        <v>8.4730252294494379E-2</v>
      </c>
    </row>
    <row r="33" spans="1:6" x14ac:dyDescent="0.3">
      <c r="A33" s="4">
        <v>1993</v>
      </c>
      <c r="B33" s="4" t="s">
        <v>31</v>
      </c>
      <c r="C33" s="4" t="s">
        <v>32</v>
      </c>
      <c r="D33" s="4">
        <v>1993</v>
      </c>
      <c r="E33" s="5">
        <v>7761508.2247008998</v>
      </c>
      <c r="F33" s="6">
        <f t="shared" si="2"/>
        <v>0.10326652390160662</v>
      </c>
    </row>
    <row r="34" spans="1:6" x14ac:dyDescent="0.3">
      <c r="A34" s="4">
        <v>1994</v>
      </c>
      <c r="B34" s="4" t="s">
        <v>31</v>
      </c>
      <c r="C34" s="4" t="s">
        <v>32</v>
      </c>
      <c r="D34" s="4">
        <v>1993</v>
      </c>
      <c r="E34" s="5">
        <v>8098028.3105721101</v>
      </c>
      <c r="F34" s="6">
        <f t="shared" si="2"/>
        <v>4.3357563520997067E-2</v>
      </c>
    </row>
    <row r="35" spans="1:6" x14ac:dyDescent="0.3">
      <c r="A35" s="4">
        <v>1995</v>
      </c>
      <c r="B35" s="4" t="s">
        <v>31</v>
      </c>
      <c r="C35" s="4" t="s">
        <v>32</v>
      </c>
      <c r="D35" s="4">
        <v>1993</v>
      </c>
      <c r="E35" s="5">
        <v>7908811.3856461896</v>
      </c>
      <c r="F35" s="6">
        <f t="shared" si="2"/>
        <v>-2.3365801855606549E-2</v>
      </c>
    </row>
    <row r="36" spans="1:6" x14ac:dyDescent="0.3">
      <c r="A36" s="4">
        <v>1996</v>
      </c>
      <c r="B36" s="4" t="s">
        <v>31</v>
      </c>
      <c r="C36" s="4" t="s">
        <v>32</v>
      </c>
      <c r="D36" s="4">
        <v>1993</v>
      </c>
      <c r="E36" s="5">
        <v>8135361.8772270596</v>
      </c>
      <c r="F36" s="6">
        <f t="shared" si="2"/>
        <v>2.8645327411909172E-2</v>
      </c>
    </row>
    <row r="37" spans="1:6" x14ac:dyDescent="0.3">
      <c r="A37" s="4">
        <v>1997</v>
      </c>
      <c r="B37" s="4" t="s">
        <v>31</v>
      </c>
      <c r="C37" s="4" t="s">
        <v>32</v>
      </c>
      <c r="D37" s="4">
        <v>1993</v>
      </c>
      <c r="E37" s="5">
        <v>8905959.4449048098</v>
      </c>
      <c r="F37" s="6">
        <f t="shared" si="2"/>
        <v>9.4721977867370466E-2</v>
      </c>
    </row>
    <row r="38" spans="1:6" x14ac:dyDescent="0.3">
      <c r="A38" s="4">
        <v>1998</v>
      </c>
      <c r="B38" s="4" t="s">
        <v>31</v>
      </c>
      <c r="C38" s="4" t="s">
        <v>32</v>
      </c>
      <c r="D38" s="4">
        <v>1993</v>
      </c>
      <c r="E38" s="5">
        <v>9488295.9322833791</v>
      </c>
      <c r="F38" s="6">
        <f t="shared" si="2"/>
        <v>6.5387282637103139E-2</v>
      </c>
    </row>
    <row r="39" spans="1:6" x14ac:dyDescent="0.3">
      <c r="A39" s="4">
        <v>1999</v>
      </c>
      <c r="B39" s="4" t="s">
        <v>31</v>
      </c>
      <c r="C39" s="4" t="s">
        <v>32</v>
      </c>
      <c r="D39" s="4">
        <v>1993</v>
      </c>
      <c r="E39" s="5">
        <v>9252615.1693661101</v>
      </c>
      <c r="F39" s="6">
        <f t="shared" si="2"/>
        <v>-2.483910331204775E-2</v>
      </c>
    </row>
    <row r="40" spans="1:6" x14ac:dyDescent="0.3">
      <c r="A40" s="4">
        <v>2000</v>
      </c>
      <c r="B40" s="4" t="s">
        <v>31</v>
      </c>
      <c r="C40" s="4" t="s">
        <v>32</v>
      </c>
      <c r="D40" s="4">
        <v>1993</v>
      </c>
      <c r="E40" s="5">
        <v>9002038.4513383098</v>
      </c>
      <c r="F40" s="6">
        <f t="shared" si="2"/>
        <v>-2.7081718351090522E-2</v>
      </c>
    </row>
    <row r="41" spans="1:6" x14ac:dyDescent="0.3">
      <c r="A41" s="4">
        <v>2001</v>
      </c>
      <c r="B41" s="4" t="s">
        <v>31</v>
      </c>
      <c r="C41" s="4" t="s">
        <v>32</v>
      </c>
      <c r="D41" s="4">
        <v>1993</v>
      </c>
      <c r="E41" s="5">
        <v>8322993.4966704398</v>
      </c>
      <c r="F41" s="6">
        <f t="shared" si="2"/>
        <v>-7.5432354387124145E-2</v>
      </c>
    </row>
    <row r="42" spans="1:6" x14ac:dyDescent="0.3">
      <c r="A42" s="4">
        <v>2002</v>
      </c>
      <c r="B42" s="4" t="s">
        <v>31</v>
      </c>
      <c r="C42" s="4" t="s">
        <v>32</v>
      </c>
      <c r="D42" s="4">
        <v>1993</v>
      </c>
      <c r="E42" s="5">
        <v>7772198.03942711</v>
      </c>
      <c r="F42" s="6">
        <f t="shared" si="2"/>
        <v>-6.6177566696846712E-2</v>
      </c>
    </row>
    <row r="43" spans="1:6" x14ac:dyDescent="0.3">
      <c r="A43" s="4">
        <v>2003</v>
      </c>
      <c r="B43" s="4" t="s">
        <v>31</v>
      </c>
      <c r="C43" s="4" t="s">
        <v>32</v>
      </c>
      <c r="D43" s="4">
        <v>1993</v>
      </c>
      <c r="E43" s="5">
        <v>9339929.5945354104</v>
      </c>
      <c r="F43" s="6">
        <f t="shared" si="2"/>
        <v>0.20171019152567271</v>
      </c>
    </row>
    <row r="45" spans="1:6" x14ac:dyDescent="0.3">
      <c r="A45" s="4">
        <v>2004</v>
      </c>
      <c r="B45" s="4" t="s">
        <v>33</v>
      </c>
      <c r="C45" s="4" t="s">
        <v>32</v>
      </c>
      <c r="D45" s="4">
        <v>1993</v>
      </c>
      <c r="E45" s="5">
        <v>10874929.0970839</v>
      </c>
      <c r="F45" s="4"/>
    </row>
    <row r="46" spans="1:6" x14ac:dyDescent="0.3">
      <c r="A46" s="4">
        <v>2005</v>
      </c>
      <c r="B46" s="4" t="s">
        <v>33</v>
      </c>
      <c r="C46" s="4" t="s">
        <v>32</v>
      </c>
      <c r="D46" s="4">
        <v>1993</v>
      </c>
      <c r="E46" s="5">
        <v>11380763.411127999</v>
      </c>
      <c r="F46" s="6">
        <f t="shared" ref="F46:F63" si="3">E46/E45-1</f>
        <v>4.6513803403071208E-2</v>
      </c>
    </row>
    <row r="47" spans="1:6" x14ac:dyDescent="0.3">
      <c r="A47" s="4">
        <v>2006</v>
      </c>
      <c r="B47" s="4" t="s">
        <v>33</v>
      </c>
      <c r="C47" s="4" t="s">
        <v>32</v>
      </c>
      <c r="D47" s="4">
        <v>1993</v>
      </c>
      <c r="E47" s="5">
        <v>12259303.9769339</v>
      </c>
      <c r="F47" s="6">
        <f t="shared" si="3"/>
        <v>7.7195222681360143E-2</v>
      </c>
    </row>
    <row r="48" spans="1:6" x14ac:dyDescent="0.3">
      <c r="A48" s="4">
        <v>2007</v>
      </c>
      <c r="B48" s="4" t="s">
        <v>33</v>
      </c>
      <c r="C48" s="4" t="s">
        <v>32</v>
      </c>
      <c r="D48" s="4">
        <v>1993</v>
      </c>
      <c r="E48" s="5">
        <v>12770718.617713301</v>
      </c>
      <c r="F48" s="6">
        <f t="shared" si="3"/>
        <v>4.1716449950309986E-2</v>
      </c>
    </row>
    <row r="49" spans="1:6" x14ac:dyDescent="0.3">
      <c r="A49" s="4">
        <v>2008</v>
      </c>
      <c r="B49" s="4" t="s">
        <v>33</v>
      </c>
      <c r="C49" s="4" t="s">
        <v>32</v>
      </c>
      <c r="D49" s="4">
        <v>1993</v>
      </c>
      <c r="E49" s="5">
        <v>13065173.973136401</v>
      </c>
      <c r="F49" s="6">
        <f t="shared" si="3"/>
        <v>2.3057070180426908E-2</v>
      </c>
    </row>
    <row r="50" spans="1:6" x14ac:dyDescent="0.3">
      <c r="A50" s="4">
        <v>2009</v>
      </c>
      <c r="B50" s="4" t="s">
        <v>33</v>
      </c>
      <c r="C50" s="4" t="s">
        <v>32</v>
      </c>
      <c r="D50" s="4">
        <v>1993</v>
      </c>
      <c r="E50" s="5">
        <v>12700761.7198551</v>
      </c>
      <c r="F50" s="6">
        <f t="shared" si="3"/>
        <v>-2.7891879130777508E-2</v>
      </c>
    </row>
    <row r="51" spans="1:6" x14ac:dyDescent="0.3">
      <c r="A51" s="4">
        <v>2010</v>
      </c>
      <c r="B51" s="4" t="s">
        <v>33</v>
      </c>
      <c r="C51" s="4" t="s">
        <v>32</v>
      </c>
      <c r="D51" s="4">
        <v>1993</v>
      </c>
      <c r="E51" s="5">
        <v>13262431.7233532</v>
      </c>
      <c r="F51" s="6">
        <f t="shared" si="3"/>
        <v>4.4223332102990343E-2</v>
      </c>
    </row>
    <row r="52" spans="1:6" x14ac:dyDescent="0.3">
      <c r="A52" s="4">
        <v>2011</v>
      </c>
      <c r="B52" s="4" t="s">
        <v>33</v>
      </c>
      <c r="C52" s="4" t="s">
        <v>32</v>
      </c>
      <c r="D52" s="4">
        <v>1993</v>
      </c>
      <c r="E52" s="5">
        <v>13739583.7038198</v>
      </c>
      <c r="F52" s="6">
        <f t="shared" si="3"/>
        <v>3.5977714375441838E-2</v>
      </c>
    </row>
    <row r="53" spans="1:6" x14ac:dyDescent="0.3">
      <c r="A53" s="4">
        <v>2012</v>
      </c>
      <c r="B53" s="4" t="s">
        <v>33</v>
      </c>
      <c r="C53" s="4" t="s">
        <v>32</v>
      </c>
      <c r="D53" s="4">
        <v>1993</v>
      </c>
      <c r="E53" s="5">
        <v>13545085.6393847</v>
      </c>
      <c r="F53" s="6">
        <f t="shared" si="3"/>
        <v>-1.4156037666630872E-2</v>
      </c>
    </row>
    <row r="54" spans="1:6" x14ac:dyDescent="0.3">
      <c r="A54" s="4">
        <v>2013</v>
      </c>
      <c r="B54" s="4" t="s">
        <v>33</v>
      </c>
      <c r="C54" s="4" t="s">
        <v>32</v>
      </c>
      <c r="D54" s="4">
        <v>1993</v>
      </c>
      <c r="E54" s="5">
        <v>14211513.620518301</v>
      </c>
      <c r="F54" s="6">
        <f t="shared" si="3"/>
        <v>4.9200721123227487E-2</v>
      </c>
    </row>
    <row r="55" spans="1:6" x14ac:dyDescent="0.3">
      <c r="A55" s="4">
        <v>2014</v>
      </c>
      <c r="B55" s="4" t="s">
        <v>33</v>
      </c>
      <c r="C55" s="4" t="s">
        <v>32</v>
      </c>
      <c r="D55" s="4">
        <v>1993</v>
      </c>
      <c r="E55" s="5">
        <v>13687924.0786476</v>
      </c>
      <c r="F55" s="6">
        <f t="shared" si="3"/>
        <v>-3.6842630268091314E-2</v>
      </c>
    </row>
    <row r="56" spans="1:6" x14ac:dyDescent="0.3">
      <c r="A56" s="4">
        <v>2015</v>
      </c>
      <c r="B56" s="4" t="s">
        <v>33</v>
      </c>
      <c r="C56" s="4" t="s">
        <v>32</v>
      </c>
      <c r="D56" s="4">
        <v>1993</v>
      </c>
      <c r="E56" s="5">
        <v>14189502.6768736</v>
      </c>
      <c r="F56" s="6">
        <f t="shared" si="3"/>
        <v>3.6643876408434695E-2</v>
      </c>
    </row>
    <row r="57" spans="1:6" x14ac:dyDescent="0.3">
      <c r="A57" s="4">
        <v>2016</v>
      </c>
      <c r="B57" s="4" t="s">
        <v>33</v>
      </c>
      <c r="C57" s="4" t="s">
        <v>32</v>
      </c>
      <c r="D57" s="4">
        <v>1993</v>
      </c>
      <c r="E57" s="5">
        <v>13373002.759948799</v>
      </c>
      <c r="F57" s="6">
        <f t="shared" si="3"/>
        <v>-5.754253235777973E-2</v>
      </c>
    </row>
    <row r="58" spans="1:6" x14ac:dyDescent="0.3">
      <c r="A58" s="4">
        <v>2017</v>
      </c>
      <c r="B58" s="4" t="s">
        <v>33</v>
      </c>
      <c r="C58" s="4" t="s">
        <v>32</v>
      </c>
      <c r="D58" s="4">
        <v>1993</v>
      </c>
      <c r="E58" s="5">
        <v>13655492.409271</v>
      </c>
      <c r="F58" s="6">
        <f t="shared" si="3"/>
        <v>2.1123875796110525E-2</v>
      </c>
    </row>
    <row r="59" spans="1:6" x14ac:dyDescent="0.3">
      <c r="A59" s="4">
        <v>2018</v>
      </c>
      <c r="B59" s="4" t="s">
        <v>33</v>
      </c>
      <c r="C59" s="4" t="s">
        <v>32</v>
      </c>
      <c r="D59" s="4">
        <v>1993</v>
      </c>
      <c r="E59" s="5">
        <v>13585607.412423</v>
      </c>
      <c r="F59" s="6">
        <f t="shared" si="3"/>
        <v>-5.1177207495317623E-3</v>
      </c>
    </row>
    <row r="60" spans="1:6" x14ac:dyDescent="0.3">
      <c r="A60" s="4">
        <v>2019</v>
      </c>
      <c r="B60" s="4" t="s">
        <v>33</v>
      </c>
      <c r="C60" s="4" t="s">
        <v>32</v>
      </c>
      <c r="D60" s="4">
        <v>1993</v>
      </c>
      <c r="E60" s="5">
        <v>13410851.4459722</v>
      </c>
      <c r="F60" s="6">
        <f t="shared" si="3"/>
        <v>-1.2863316386648838E-2</v>
      </c>
    </row>
    <row r="61" spans="1:6" x14ac:dyDescent="0.3">
      <c r="A61" s="4">
        <v>2020</v>
      </c>
      <c r="B61" s="4" t="s">
        <v>33</v>
      </c>
      <c r="C61" s="4" t="s">
        <v>32</v>
      </c>
      <c r="D61" s="4">
        <v>1993</v>
      </c>
      <c r="E61" s="5">
        <v>12342645.8809737</v>
      </c>
      <c r="F61" s="6">
        <f t="shared" si="3"/>
        <v>-7.9652330003202265E-2</v>
      </c>
    </row>
    <row r="62" spans="1:6" x14ac:dyDescent="0.3">
      <c r="A62" s="4">
        <v>2021</v>
      </c>
      <c r="B62" s="4" t="s">
        <v>33</v>
      </c>
      <c r="C62" s="4" t="s">
        <v>32</v>
      </c>
      <c r="D62" s="4">
        <v>1993</v>
      </c>
      <c r="E62" s="5">
        <v>13635887.646933099</v>
      </c>
      <c r="F62" s="6">
        <f t="shared" si="3"/>
        <v>0.10477832536319798</v>
      </c>
    </row>
    <row r="63" spans="1:6" x14ac:dyDescent="0.3">
      <c r="A63" s="4">
        <v>2022</v>
      </c>
      <c r="B63" s="4" t="s">
        <v>33</v>
      </c>
      <c r="C63" s="4" t="s">
        <v>32</v>
      </c>
      <c r="D63" s="4">
        <v>1993</v>
      </c>
      <c r="E63" s="5">
        <v>14178694.4422819</v>
      </c>
      <c r="F63" s="6">
        <f t="shared" si="3"/>
        <v>3.9807221165457873E-2</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5"/>
  <sheetViews>
    <sheetView zoomScaleNormal="100" workbookViewId="0">
      <pane ySplit="3" topLeftCell="A31" activePane="bottomLeft" state="frozen"/>
      <selection pane="bottomLeft" sqref="A1:B1"/>
    </sheetView>
  </sheetViews>
  <sheetFormatPr baseColWidth="10" defaultColWidth="8.6640625" defaultRowHeight="14.4" x14ac:dyDescent="0.3"/>
  <cols>
    <col min="1" max="1" width="8" customWidth="1"/>
    <col min="2" max="2" width="22" customWidth="1"/>
  </cols>
  <sheetData>
    <row r="1" spans="1:2" ht="16.8" x14ac:dyDescent="0.3">
      <c r="A1" s="21" t="s">
        <v>34</v>
      </c>
      <c r="B1" s="21"/>
    </row>
    <row r="3" spans="1:2" x14ac:dyDescent="0.3">
      <c r="A3" s="3" t="s">
        <v>21</v>
      </c>
      <c r="B3" s="3" t="s">
        <v>35</v>
      </c>
    </row>
    <row r="4" spans="1:2" x14ac:dyDescent="0.3">
      <c r="A4" s="4">
        <v>1970</v>
      </c>
      <c r="B4" s="7">
        <v>4.7536083333333301E-10</v>
      </c>
    </row>
    <row r="5" spans="1:2" x14ac:dyDescent="0.3">
      <c r="A5" s="4">
        <v>1971</v>
      </c>
      <c r="B5" s="7">
        <v>6.4042000000000005E-10</v>
      </c>
    </row>
    <row r="6" spans="1:2" x14ac:dyDescent="0.3">
      <c r="A6" s="4">
        <v>1972</v>
      </c>
      <c r="B6" s="7">
        <v>1.0147766666666699E-9</v>
      </c>
    </row>
    <row r="7" spans="1:2" x14ac:dyDescent="0.3">
      <c r="A7" s="4">
        <v>1973</v>
      </c>
      <c r="B7" s="7">
        <v>1.62672083333333E-9</v>
      </c>
    </row>
    <row r="8" spans="1:2" x14ac:dyDescent="0.3">
      <c r="A8" s="4">
        <v>1974</v>
      </c>
      <c r="B8" s="7">
        <v>2.02065416666667E-9</v>
      </c>
    </row>
    <row r="9" spans="1:2" x14ac:dyDescent="0.3">
      <c r="A9" s="4">
        <v>1975</v>
      </c>
      <c r="B9" s="7">
        <v>5.71426666666667E-9</v>
      </c>
    </row>
    <row r="10" spans="1:2" x14ac:dyDescent="0.3">
      <c r="A10" s="4">
        <v>1976</v>
      </c>
      <c r="B10" s="7">
        <v>3.1086300000000001E-8</v>
      </c>
    </row>
    <row r="11" spans="1:2" x14ac:dyDescent="0.3">
      <c r="A11" s="4">
        <v>1977</v>
      </c>
      <c r="B11" s="7">
        <v>8.5808050000000006E-8</v>
      </c>
    </row>
    <row r="12" spans="1:2" x14ac:dyDescent="0.3">
      <c r="A12" s="4">
        <v>1978</v>
      </c>
      <c r="B12" s="7">
        <v>2.3640875E-7</v>
      </c>
    </row>
    <row r="13" spans="1:2" x14ac:dyDescent="0.3">
      <c r="A13" s="4">
        <v>1979</v>
      </c>
      <c r="B13" s="7">
        <v>6.1350683333333398E-7</v>
      </c>
    </row>
    <row r="14" spans="1:2" x14ac:dyDescent="0.3">
      <c r="A14" s="4">
        <v>1980</v>
      </c>
      <c r="B14" s="7">
        <v>1.2317020000000001E-6</v>
      </c>
    </row>
    <row r="15" spans="1:2" x14ac:dyDescent="0.3">
      <c r="A15" s="4">
        <v>1981</v>
      </c>
      <c r="B15" s="7">
        <v>2.5185499999999998E-6</v>
      </c>
    </row>
    <row r="16" spans="1:2" x14ac:dyDescent="0.3">
      <c r="A16" s="4">
        <v>1982</v>
      </c>
      <c r="B16" s="7">
        <v>6.6685833333333299E-6</v>
      </c>
    </row>
    <row r="17" spans="1:2" x14ac:dyDescent="0.3">
      <c r="A17" s="4">
        <v>1983</v>
      </c>
      <c r="B17" s="7">
        <v>2.95951416666667E-5</v>
      </c>
    </row>
    <row r="18" spans="1:2" x14ac:dyDescent="0.3">
      <c r="A18" s="4">
        <v>1984</v>
      </c>
      <c r="B18" s="7">
        <v>2.1507783333333299E-4</v>
      </c>
    </row>
    <row r="19" spans="1:2" x14ac:dyDescent="0.3">
      <c r="A19" s="4">
        <v>1985</v>
      </c>
      <c r="B19" s="7">
        <v>1.6607925000000001E-3</v>
      </c>
    </row>
    <row r="20" spans="1:2" x14ac:dyDescent="0.3">
      <c r="A20" s="4">
        <v>1986</v>
      </c>
      <c r="B20" s="7">
        <v>3.1570041666666702E-3</v>
      </c>
    </row>
    <row r="21" spans="1:2" x14ac:dyDescent="0.3">
      <c r="A21" s="4">
        <v>1987</v>
      </c>
      <c r="B21" s="7">
        <v>7.30324166666667E-3</v>
      </c>
    </row>
    <row r="22" spans="1:2" x14ac:dyDescent="0.3">
      <c r="A22" s="4">
        <v>1988</v>
      </c>
      <c r="B22" s="7">
        <v>3.2349999999999997E-2</v>
      </c>
    </row>
    <row r="23" spans="1:2" x14ac:dyDescent="0.3">
      <c r="A23" s="4">
        <v>1989</v>
      </c>
      <c r="B23" s="7">
        <v>1.0285535833333299</v>
      </c>
    </row>
    <row r="24" spans="1:2" x14ac:dyDescent="0.3">
      <c r="A24" s="4">
        <v>1990</v>
      </c>
      <c r="B24" s="7">
        <v>24.828900000000001</v>
      </c>
    </row>
    <row r="25" spans="1:2" x14ac:dyDescent="0.3">
      <c r="A25" s="4">
        <v>1991</v>
      </c>
      <c r="B25" s="7">
        <v>67.453100000000006</v>
      </c>
    </row>
    <row r="26" spans="1:2" x14ac:dyDescent="0.3">
      <c r="A26" s="4">
        <v>1992</v>
      </c>
      <c r="B26" s="7">
        <v>84.248900000000006</v>
      </c>
    </row>
    <row r="27" spans="1:2" x14ac:dyDescent="0.3">
      <c r="A27" s="4">
        <v>1993</v>
      </c>
      <c r="B27" s="7">
        <v>93.188999999999993</v>
      </c>
    </row>
    <row r="28" spans="1:2" x14ac:dyDescent="0.3">
      <c r="A28" s="4">
        <v>1994</v>
      </c>
      <c r="B28" s="7">
        <v>97.081800000000001</v>
      </c>
    </row>
    <row r="29" spans="1:2" x14ac:dyDescent="0.3">
      <c r="A29" s="4">
        <v>1995</v>
      </c>
      <c r="B29" s="7">
        <v>100.35939999999999</v>
      </c>
    </row>
    <row r="30" spans="1:2" x14ac:dyDescent="0.3">
      <c r="A30" s="4">
        <v>1996</v>
      </c>
      <c r="B30" s="7">
        <v>100.51560000000001</v>
      </c>
    </row>
    <row r="31" spans="1:2" x14ac:dyDescent="0.3">
      <c r="A31" s="4">
        <v>1997</v>
      </c>
      <c r="B31" s="7">
        <v>101.04689999999999</v>
      </c>
    </row>
    <row r="32" spans="1:2" x14ac:dyDescent="0.3">
      <c r="A32" s="4">
        <v>1998</v>
      </c>
      <c r="B32" s="7">
        <v>101.9813</v>
      </c>
    </row>
    <row r="33" spans="1:2" x14ac:dyDescent="0.3">
      <c r="A33" s="4">
        <v>1999</v>
      </c>
      <c r="B33" s="7">
        <v>100.7915</v>
      </c>
    </row>
    <row r="34" spans="1:2" x14ac:dyDescent="0.3">
      <c r="A34" s="4">
        <v>2000</v>
      </c>
      <c r="B34" s="7">
        <v>99.844899999999996</v>
      </c>
    </row>
    <row r="35" spans="1:2" x14ac:dyDescent="0.3">
      <c r="A35" s="4">
        <v>2001</v>
      </c>
      <c r="B35" s="7">
        <v>98.781666666666695</v>
      </c>
    </row>
    <row r="36" spans="1:2" x14ac:dyDescent="0.3">
      <c r="A36" s="4">
        <v>2002</v>
      </c>
      <c r="B36" s="7">
        <v>124.33499999999999</v>
      </c>
    </row>
    <row r="37" spans="1:2" x14ac:dyDescent="0.3">
      <c r="A37" s="4">
        <v>2003</v>
      </c>
      <c r="B37" s="7">
        <v>141.05000000000001</v>
      </c>
    </row>
    <row r="38" spans="1:2" x14ac:dyDescent="0.3">
      <c r="A38" s="4">
        <v>2004</v>
      </c>
      <c r="B38" s="7">
        <v>147.28</v>
      </c>
    </row>
    <row r="39" spans="1:2" x14ac:dyDescent="0.3">
      <c r="A39" s="4">
        <v>2005</v>
      </c>
      <c r="B39" s="7">
        <v>167.48</v>
      </c>
    </row>
    <row r="40" spans="1:2" x14ac:dyDescent="0.3">
      <c r="A40" s="4">
        <v>2006</v>
      </c>
      <c r="B40" s="7">
        <v>179.08</v>
      </c>
    </row>
    <row r="41" spans="1:2" x14ac:dyDescent="0.3">
      <c r="A41" s="4">
        <v>2007</v>
      </c>
      <c r="B41" s="7">
        <v>194.89</v>
      </c>
    </row>
    <row r="42" spans="1:2" x14ac:dyDescent="0.3">
      <c r="A42" s="4">
        <v>2008</v>
      </c>
      <c r="B42" s="7">
        <v>238.54535999999999</v>
      </c>
    </row>
    <row r="43" spans="1:2" x14ac:dyDescent="0.3">
      <c r="A43" s="4">
        <v>2009</v>
      </c>
      <c r="B43" s="7">
        <v>287.92424951999999</v>
      </c>
    </row>
    <row r="44" spans="1:2" x14ac:dyDescent="0.3">
      <c r="A44" s="4">
        <v>2010</v>
      </c>
      <c r="B44" s="7">
        <v>334.56797794224002</v>
      </c>
    </row>
    <row r="45" spans="1:2" x14ac:dyDescent="0.3">
      <c r="A45" s="4">
        <v>2011</v>
      </c>
      <c r="B45" s="7">
        <v>427.91244378812502</v>
      </c>
    </row>
    <row r="46" spans="1:2" x14ac:dyDescent="0.3">
      <c r="A46" s="4">
        <v>2012</v>
      </c>
      <c r="B46" s="7">
        <v>527.61604319075798</v>
      </c>
    </row>
    <row r="47" spans="1:2" x14ac:dyDescent="0.3">
      <c r="A47" s="4">
        <v>2013</v>
      </c>
      <c r="B47" s="7">
        <v>650.55058125420499</v>
      </c>
    </row>
    <row r="48" spans="1:2" x14ac:dyDescent="0.3">
      <c r="A48" s="4">
        <v>2014</v>
      </c>
      <c r="B48" s="7">
        <v>844.41465446795803</v>
      </c>
    </row>
    <row r="49" spans="1:2" x14ac:dyDescent="0.3">
      <c r="A49" s="4">
        <v>2015</v>
      </c>
      <c r="B49" s="7">
        <v>1192.3134921087601</v>
      </c>
    </row>
    <row r="50" spans="1:2" x14ac:dyDescent="0.3">
      <c r="A50" s="4">
        <v>2016</v>
      </c>
      <c r="B50" s="7">
        <v>1513.04582148601</v>
      </c>
    </row>
    <row r="51" spans="1:2" x14ac:dyDescent="0.3">
      <c r="A51" s="4">
        <v>2017</v>
      </c>
      <c r="B51" s="7">
        <v>2066.8205921498902</v>
      </c>
    </row>
    <row r="52" spans="1:2" x14ac:dyDescent="0.3">
      <c r="A52" s="4">
        <v>2018</v>
      </c>
      <c r="B52" s="7">
        <v>2546.32296952867</v>
      </c>
    </row>
    <row r="53" spans="1:2" x14ac:dyDescent="0.3">
      <c r="A53" s="4">
        <v>2019</v>
      </c>
      <c r="B53" s="7">
        <v>3860.2256218054599</v>
      </c>
    </row>
    <row r="54" spans="1:2" x14ac:dyDescent="0.3">
      <c r="A54" s="4">
        <v>2020</v>
      </c>
      <c r="B54" s="7">
        <v>5921.5861038495796</v>
      </c>
    </row>
    <row r="55" spans="1:2" x14ac:dyDescent="0.3">
      <c r="A55" s="4">
        <v>2021</v>
      </c>
      <c r="B55" s="7">
        <v>8136.2593066893196</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zoomScaleNormal="100" workbookViewId="0">
      <selection activeCell="A3" sqref="A3:D3"/>
    </sheetView>
  </sheetViews>
  <sheetFormatPr baseColWidth="10" defaultColWidth="8.6640625" defaultRowHeight="14.4" x14ac:dyDescent="0.3"/>
  <cols>
    <col min="1" max="1" width="16" customWidth="1"/>
    <col min="2" max="2" width="20" customWidth="1"/>
    <col min="4" max="4" width="13.109375" customWidth="1"/>
  </cols>
  <sheetData>
    <row r="1" spans="1:4" ht="16.8" x14ac:dyDescent="0.3">
      <c r="A1" s="21" t="s">
        <v>36</v>
      </c>
      <c r="B1" s="21"/>
      <c r="C1" s="21"/>
      <c r="D1" s="21"/>
    </row>
    <row r="3" spans="1:4" x14ac:dyDescent="0.3">
      <c r="A3" s="22" t="s">
        <v>37</v>
      </c>
      <c r="B3" s="22"/>
      <c r="C3" s="22"/>
      <c r="D3" s="22"/>
    </row>
    <row r="5" spans="1:4" x14ac:dyDescent="0.3">
      <c r="A5" s="2" t="s">
        <v>38</v>
      </c>
      <c r="B5" s="8">
        <f>'PBG por tramo'!E33/'PBG por tramo'!E29</f>
        <v>26.136104337887964</v>
      </c>
    </row>
    <row r="7" spans="1:4" x14ac:dyDescent="0.3">
      <c r="A7" s="2" t="s">
        <v>39</v>
      </c>
    </row>
    <row r="8" spans="1:4" x14ac:dyDescent="0.3">
      <c r="A8" s="2" t="s">
        <v>40</v>
      </c>
      <c r="B8" s="8">
        <f>'IPC INDEC'!B33/'IPC INDEC'!B27</f>
        <v>1.0815815171318504</v>
      </c>
    </row>
    <row r="10" spans="1:4" x14ac:dyDescent="0.3">
      <c r="A10" s="2" t="s">
        <v>41</v>
      </c>
    </row>
    <row r="11" spans="1:4" ht="60" customHeight="1" x14ac:dyDescent="0.3">
      <c r="A11" s="23" t="s">
        <v>42</v>
      </c>
      <c r="B11" s="23"/>
      <c r="C11" s="23"/>
      <c r="D11" s="23"/>
    </row>
    <row r="12" spans="1:4" x14ac:dyDescent="0.3">
      <c r="A12" s="23"/>
      <c r="B12" s="23"/>
      <c r="C12" s="23"/>
      <c r="D12" s="23"/>
    </row>
    <row r="13" spans="1:4" x14ac:dyDescent="0.3">
      <c r="A13" s="23"/>
      <c r="B13" s="23"/>
      <c r="C13" s="23"/>
      <c r="D13" s="23"/>
    </row>
    <row r="14" spans="1:4" x14ac:dyDescent="0.3">
      <c r="A14" s="23"/>
      <c r="B14" s="23"/>
      <c r="C14" s="23"/>
      <c r="D14" s="23"/>
    </row>
  </sheetData>
  <mergeCells count="3">
    <mergeCell ref="A1:D1"/>
    <mergeCell ref="A3:D3"/>
    <mergeCell ref="A11:D1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0"/>
  <sheetViews>
    <sheetView zoomScaleNormal="100" workbookViewId="0">
      <pane ySplit="4" topLeftCell="A5" activePane="bottomLeft" state="frozen"/>
      <selection pane="bottomLeft" activeCell="A2" sqref="A2:B2"/>
    </sheetView>
  </sheetViews>
  <sheetFormatPr baseColWidth="10" defaultColWidth="8.6640625" defaultRowHeight="14.4" x14ac:dyDescent="0.3"/>
  <cols>
    <col min="1" max="1" width="8" customWidth="1"/>
    <col min="2" max="2" width="22" customWidth="1"/>
  </cols>
  <sheetData>
    <row r="1" spans="1:2" ht="16.8" x14ac:dyDescent="0.3">
      <c r="A1" s="21" t="s">
        <v>43</v>
      </c>
      <c r="B1" s="21"/>
    </row>
    <row r="2" spans="1:2" x14ac:dyDescent="0.3">
      <c r="A2" s="24" t="s">
        <v>61</v>
      </c>
      <c r="B2" s="24"/>
    </row>
    <row r="4" spans="1:2" x14ac:dyDescent="0.3">
      <c r="A4" s="3" t="s">
        <v>21</v>
      </c>
      <c r="B4" s="3" t="s">
        <v>44</v>
      </c>
    </row>
    <row r="5" spans="1:2" x14ac:dyDescent="0.3">
      <c r="A5" s="4">
        <v>1969</v>
      </c>
      <c r="B5" s="5">
        <v>152643.77335610599</v>
      </c>
    </row>
    <row r="6" spans="1:2" x14ac:dyDescent="0.3">
      <c r="A6" s="4">
        <v>1970</v>
      </c>
      <c r="B6" s="5">
        <v>160860.95636173099</v>
      </c>
    </row>
    <row r="7" spans="1:2" x14ac:dyDescent="0.3">
      <c r="A7" s="4">
        <v>1971</v>
      </c>
      <c r="B7" s="5">
        <v>166912.606221553</v>
      </c>
    </row>
    <row r="8" spans="1:2" x14ac:dyDescent="0.3">
      <c r="A8" s="4">
        <v>1972</v>
      </c>
      <c r="B8" s="5">
        <v>170379.33445085399</v>
      </c>
    </row>
    <row r="9" spans="1:2" x14ac:dyDescent="0.3">
      <c r="A9" s="4">
        <v>1973</v>
      </c>
      <c r="B9" s="5">
        <v>176760.97430606201</v>
      </c>
    </row>
    <row r="10" spans="1:2" x14ac:dyDescent="0.3">
      <c r="A10" s="4">
        <v>1974</v>
      </c>
      <c r="B10" s="5">
        <v>186316.01795022801</v>
      </c>
    </row>
    <row r="11" spans="1:2" x14ac:dyDescent="0.3">
      <c r="A11" s="4">
        <v>1975</v>
      </c>
      <c r="B11" s="5">
        <v>185210.551465686</v>
      </c>
    </row>
    <row r="12" spans="1:2" x14ac:dyDescent="0.3">
      <c r="A12" s="4">
        <v>1976</v>
      </c>
      <c r="B12" s="5">
        <v>185188.55213266</v>
      </c>
    </row>
    <row r="13" spans="1:2" x14ac:dyDescent="0.3">
      <c r="A13" s="4">
        <v>1977</v>
      </c>
      <c r="B13" s="5">
        <v>197015.02691173099</v>
      </c>
    </row>
    <row r="14" spans="1:2" x14ac:dyDescent="0.3">
      <c r="A14" s="4">
        <v>1978</v>
      </c>
      <c r="B14" s="5">
        <v>190666.38605606201</v>
      </c>
    </row>
    <row r="15" spans="1:2" x14ac:dyDescent="0.3">
      <c r="A15" s="4">
        <v>1979</v>
      </c>
      <c r="B15" s="5">
        <v>203891.651760017</v>
      </c>
    </row>
    <row r="16" spans="1:2" x14ac:dyDescent="0.3">
      <c r="A16" s="4">
        <v>1980</v>
      </c>
      <c r="B16" s="5">
        <v>207011.43217472499</v>
      </c>
    </row>
    <row r="17" spans="1:2" x14ac:dyDescent="0.3">
      <c r="A17" s="4">
        <v>1981</v>
      </c>
      <c r="B17" s="5">
        <v>195787.085571267</v>
      </c>
    </row>
    <row r="18" spans="1:2" x14ac:dyDescent="0.3">
      <c r="A18" s="4">
        <v>1982</v>
      </c>
      <c r="B18" s="5">
        <v>189602.24152446401</v>
      </c>
    </row>
    <row r="19" spans="1:2" x14ac:dyDescent="0.3">
      <c r="A19" s="4">
        <v>1983</v>
      </c>
      <c r="B19" s="5">
        <v>197400.610512652</v>
      </c>
    </row>
    <row r="20" spans="1:2" x14ac:dyDescent="0.3">
      <c r="A20" s="4">
        <v>1984</v>
      </c>
      <c r="B20" s="5">
        <v>201349.024597112</v>
      </c>
    </row>
    <row r="21" spans="1:2" x14ac:dyDescent="0.3">
      <c r="A21" s="4">
        <v>1985</v>
      </c>
      <c r="B21" s="5">
        <v>187351.74596487399</v>
      </c>
    </row>
    <row r="22" spans="1:2" x14ac:dyDescent="0.3">
      <c r="A22" s="4">
        <v>1986</v>
      </c>
      <c r="B22" s="5">
        <v>200726.11957615399</v>
      </c>
    </row>
    <row r="23" spans="1:2" x14ac:dyDescent="0.3">
      <c r="A23" s="4">
        <v>1987</v>
      </c>
      <c r="B23" s="5">
        <v>205926.37181563699</v>
      </c>
    </row>
    <row r="24" spans="1:2" x14ac:dyDescent="0.3">
      <c r="A24" s="4">
        <v>1988</v>
      </c>
      <c r="B24" s="5">
        <v>202022.16389395401</v>
      </c>
    </row>
    <row r="25" spans="1:2" x14ac:dyDescent="0.3">
      <c r="A25" s="4">
        <v>1989</v>
      </c>
      <c r="B25" s="5">
        <v>188010.819664468</v>
      </c>
    </row>
    <row r="26" spans="1:2" x14ac:dyDescent="0.3">
      <c r="A26" s="4">
        <v>1990</v>
      </c>
      <c r="B26" s="5">
        <v>184568.767080916</v>
      </c>
    </row>
    <row r="27" spans="1:2" x14ac:dyDescent="0.3">
      <c r="A27" s="4">
        <v>1991</v>
      </c>
      <c r="B27" s="5">
        <v>204093.82543139899</v>
      </c>
    </row>
    <row r="28" spans="1:2" x14ac:dyDescent="0.3">
      <c r="A28" s="4">
        <v>1992</v>
      </c>
      <c r="B28" s="5">
        <v>223701.26799433099</v>
      </c>
    </row>
    <row r="29" spans="1:2" x14ac:dyDescent="0.3">
      <c r="A29" s="4">
        <v>1993</v>
      </c>
      <c r="B29" s="5">
        <v>236504.98023157299</v>
      </c>
    </row>
    <row r="30" spans="1:2" x14ac:dyDescent="0.3">
      <c r="A30" s="4">
        <v>1994</v>
      </c>
      <c r="B30" s="5">
        <v>250307.88553631501</v>
      </c>
    </row>
    <row r="31" spans="1:2" x14ac:dyDescent="0.3">
      <c r="A31" s="4">
        <v>1995</v>
      </c>
      <c r="B31" s="5">
        <v>243186.10151946</v>
      </c>
    </row>
    <row r="32" spans="1:2" x14ac:dyDescent="0.3">
      <c r="A32" s="4">
        <v>1996</v>
      </c>
      <c r="B32" s="5">
        <v>256626.24305584701</v>
      </c>
    </row>
    <row r="33" spans="1:2" x14ac:dyDescent="0.3">
      <c r="A33" s="4">
        <v>1997</v>
      </c>
      <c r="B33" s="5">
        <v>277441.31762237998</v>
      </c>
    </row>
    <row r="34" spans="1:2" x14ac:dyDescent="0.3">
      <c r="A34" s="4">
        <v>1998</v>
      </c>
      <c r="B34" s="5">
        <v>288122.80460772401</v>
      </c>
    </row>
    <row r="35" spans="1:2" x14ac:dyDescent="0.3">
      <c r="A35" s="4">
        <v>1999</v>
      </c>
      <c r="B35" s="5">
        <v>278369.01387171802</v>
      </c>
    </row>
    <row r="36" spans="1:2" x14ac:dyDescent="0.3">
      <c r="A36" s="4">
        <v>2000</v>
      </c>
      <c r="B36" s="5">
        <v>276172.18535265001</v>
      </c>
    </row>
    <row r="37" spans="1:2" x14ac:dyDescent="0.3">
      <c r="A37" s="4">
        <v>2001</v>
      </c>
      <c r="B37" s="5">
        <v>263995.67436681699</v>
      </c>
    </row>
    <row r="38" spans="1:2" x14ac:dyDescent="0.3">
      <c r="A38" s="4">
        <v>2002</v>
      </c>
      <c r="B38" s="5">
        <v>235234.596752907</v>
      </c>
    </row>
    <row r="39" spans="1:2" x14ac:dyDescent="0.3">
      <c r="A39" s="4">
        <v>2003</v>
      </c>
      <c r="B39" s="5">
        <v>256022.46524751</v>
      </c>
    </row>
    <row r="40" spans="1:2" x14ac:dyDescent="0.3">
      <c r="A40" s="4">
        <v>2004</v>
      </c>
      <c r="B40" s="5">
        <v>279020</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
  <sheetViews>
    <sheetView zoomScaleNormal="100" workbookViewId="0">
      <selection activeCell="A10" sqref="A10:D12"/>
    </sheetView>
  </sheetViews>
  <sheetFormatPr baseColWidth="10" defaultColWidth="8.6640625" defaultRowHeight="14.4" x14ac:dyDescent="0.3"/>
  <cols>
    <col min="1" max="1" width="30" customWidth="1"/>
    <col min="2" max="2" width="20" customWidth="1"/>
  </cols>
  <sheetData>
    <row r="1" spans="1:4" ht="16.8" x14ac:dyDescent="0.3">
      <c r="A1" s="21" t="s">
        <v>45</v>
      </c>
      <c r="B1" s="21"/>
      <c r="C1" s="21"/>
      <c r="D1" s="21"/>
    </row>
    <row r="3" spans="1:4" ht="30" customHeight="1" x14ac:dyDescent="0.3">
      <c r="A3" s="22" t="s">
        <v>60</v>
      </c>
      <c r="B3" s="22"/>
      <c r="C3" s="22"/>
      <c r="D3" s="22"/>
    </row>
    <row r="5" spans="1:4" x14ac:dyDescent="0.3">
      <c r="A5" s="2" t="s">
        <v>46</v>
      </c>
      <c r="B5" s="9">
        <f>'PBI Ferreres (nacional)'!B22/'PBI Ferreres (nacional)'!B21-1</f>
        <v>7.1386437005970027E-2</v>
      </c>
    </row>
    <row r="7" spans="1:4" x14ac:dyDescent="0.3">
      <c r="A7" s="2" t="s">
        <v>47</v>
      </c>
      <c r="B7" s="10">
        <f>'PBG por tramo'!E22/('PBG por tramo'!E20*(1+B5))</f>
        <v>649.43174288959028</v>
      </c>
    </row>
    <row r="9" spans="1:4" x14ac:dyDescent="0.3">
      <c r="A9" s="2" t="s">
        <v>41</v>
      </c>
    </row>
    <row r="10" spans="1:4" ht="54.75" customHeight="1" x14ac:dyDescent="0.3">
      <c r="A10" s="23" t="s">
        <v>48</v>
      </c>
      <c r="B10" s="23"/>
      <c r="C10" s="23"/>
      <c r="D10" s="23"/>
    </row>
    <row r="11" spans="1:4" x14ac:dyDescent="0.3">
      <c r="A11" s="23"/>
      <c r="B11" s="23"/>
      <c r="C11" s="23"/>
      <c r="D11" s="23"/>
    </row>
    <row r="12" spans="1:4" x14ac:dyDescent="0.3">
      <c r="A12" s="23"/>
      <c r="B12" s="23"/>
      <c r="C12" s="23"/>
      <c r="D12" s="23"/>
    </row>
  </sheetData>
  <mergeCells count="3">
    <mergeCell ref="A1:D1"/>
    <mergeCell ref="A3:D3"/>
    <mergeCell ref="A10:D1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7"/>
  <sheetViews>
    <sheetView tabSelected="1" zoomScaleNormal="100" workbookViewId="0">
      <pane ySplit="4" topLeftCell="A8" activePane="bottomLeft" state="frozen"/>
      <selection pane="bottomLeft" activeCell="C4" sqref="C4"/>
    </sheetView>
  </sheetViews>
  <sheetFormatPr baseColWidth="10" defaultColWidth="8.6640625" defaultRowHeight="14.4" x14ac:dyDescent="0.3"/>
  <cols>
    <col min="1" max="1" width="8" customWidth="1"/>
    <col min="2" max="2" width="18.33203125" customWidth="1"/>
    <col min="3" max="3" width="27.44140625" customWidth="1"/>
    <col min="4" max="4" width="31.109375" customWidth="1"/>
  </cols>
  <sheetData>
    <row r="1" spans="1:4" ht="16.8" x14ac:dyDescent="0.3">
      <c r="A1" s="21" t="s">
        <v>49</v>
      </c>
      <c r="B1" s="21"/>
      <c r="C1" s="21"/>
      <c r="D1" s="21"/>
    </row>
    <row r="2" spans="1:4" x14ac:dyDescent="0.3">
      <c r="A2" s="22" t="s">
        <v>59</v>
      </c>
      <c r="B2" s="22"/>
      <c r="C2" s="22"/>
      <c r="D2" s="22"/>
    </row>
    <row r="4" spans="1:4" x14ac:dyDescent="0.3">
      <c r="A4" s="14" t="s">
        <v>21</v>
      </c>
      <c r="B4" s="15" t="s">
        <v>50</v>
      </c>
      <c r="C4" s="15" t="s">
        <v>51</v>
      </c>
      <c r="D4" s="16" t="s">
        <v>26</v>
      </c>
    </row>
    <row r="5" spans="1:4" x14ac:dyDescent="0.3">
      <c r="A5" s="11">
        <v>1970</v>
      </c>
      <c r="B5" s="4" t="s">
        <v>52</v>
      </c>
      <c r="C5" s="5">
        <f>'PBG por tramo'!E5*'Coeficiente de empalme (A-B)'!$B$7*'Coeficiente de empalme (B-C)'!$B$5*'Coeficiente de empalme (B-C)'!$B$8</f>
        <v>5754057.3647016427</v>
      </c>
      <c r="D5" s="12"/>
    </row>
    <row r="6" spans="1:4" x14ac:dyDescent="0.3">
      <c r="A6" s="11">
        <v>1971</v>
      </c>
      <c r="B6" s="4" t="s">
        <v>52</v>
      </c>
      <c r="C6" s="5">
        <f>'PBG por tramo'!E6*'Coeficiente de empalme (A-B)'!$B$7*'Coeficiente de empalme (B-C)'!$B$5*'Coeficiente de empalme (B-C)'!$B$8</f>
        <v>6139215.5292405849</v>
      </c>
      <c r="D6" s="13">
        <f t="shared" ref="D6:D37" si="0">C6/C5-1</f>
        <v>6.6936796094821949E-2</v>
      </c>
    </row>
    <row r="7" spans="1:4" x14ac:dyDescent="0.3">
      <c r="A7" s="11">
        <v>1972</v>
      </c>
      <c r="B7" s="4" t="s">
        <v>52</v>
      </c>
      <c r="C7" s="5">
        <f>'PBG por tramo'!E7*'Coeficiente de empalme (A-B)'!$B$7*'Coeficiente de empalme (B-C)'!$B$5*'Coeficiente de empalme (B-C)'!$B$8</f>
        <v>6540345.4575139806</v>
      </c>
      <c r="D7" s="13">
        <f t="shared" si="0"/>
        <v>6.5338955174785163E-2</v>
      </c>
    </row>
    <row r="8" spans="1:4" x14ac:dyDescent="0.3">
      <c r="A8" s="11">
        <v>1973</v>
      </c>
      <c r="B8" s="4" t="s">
        <v>52</v>
      </c>
      <c r="C8" s="5">
        <f>'PBG por tramo'!E8*'Coeficiente de empalme (A-B)'!$B$7*'Coeficiente de empalme (B-C)'!$B$5*'Coeficiente de empalme (B-C)'!$B$8</f>
        <v>6688497.3349128971</v>
      </c>
      <c r="D8" s="13">
        <f t="shared" si="0"/>
        <v>2.2651995733453223E-2</v>
      </c>
    </row>
    <row r="9" spans="1:4" x14ac:dyDescent="0.3">
      <c r="A9" s="11">
        <v>1974</v>
      </c>
      <c r="B9" s="4" t="s">
        <v>52</v>
      </c>
      <c r="C9" s="5">
        <f>'PBG por tramo'!E9*'Coeficiente de empalme (A-B)'!$B$7*'Coeficiente de empalme (B-C)'!$B$5*'Coeficiente de empalme (B-C)'!$B$8</f>
        <v>7460282.3319203863</v>
      </c>
      <c r="D9" s="13">
        <f t="shared" si="0"/>
        <v>0.11538989377761943</v>
      </c>
    </row>
    <row r="10" spans="1:4" x14ac:dyDescent="0.3">
      <c r="A10" s="11">
        <v>1975</v>
      </c>
      <c r="B10" s="4" t="s">
        <v>52</v>
      </c>
      <c r="C10" s="5">
        <f>'PBG por tramo'!E10*'Coeficiente de empalme (A-B)'!$B$7*'Coeficiente de empalme (B-C)'!$B$5*'Coeficiente de empalme (B-C)'!$B$8</f>
        <v>6520885.6074467134</v>
      </c>
      <c r="D10" s="13">
        <f t="shared" si="0"/>
        <v>-0.12591972832640219</v>
      </c>
    </row>
    <row r="11" spans="1:4" x14ac:dyDescent="0.3">
      <c r="A11" s="11">
        <v>1976</v>
      </c>
      <c r="B11" s="4" t="s">
        <v>52</v>
      </c>
      <c r="C11" s="5">
        <f>'PBG por tramo'!E11*'Coeficiente de empalme (A-B)'!$B$7*'Coeficiente de empalme (B-C)'!$B$5*'Coeficiente de empalme (B-C)'!$B$8</f>
        <v>7417690.9619618375</v>
      </c>
      <c r="D11" s="13">
        <f t="shared" si="0"/>
        <v>0.13752815315315314</v>
      </c>
    </row>
    <row r="12" spans="1:4" x14ac:dyDescent="0.3">
      <c r="A12" s="11">
        <v>1977</v>
      </c>
      <c r="B12" s="4" t="s">
        <v>52</v>
      </c>
      <c r="C12" s="5">
        <f>'PBG por tramo'!E12*'Coeficiente de empalme (A-B)'!$B$7*'Coeficiente de empalme (B-C)'!$B$5*'Coeficiente de empalme (B-C)'!$B$8</f>
        <v>6987738.4255699394</v>
      </c>
      <c r="D12" s="13">
        <f t="shared" si="0"/>
        <v>-5.7963123375819881E-2</v>
      </c>
    </row>
    <row r="13" spans="1:4" x14ac:dyDescent="0.3">
      <c r="A13" s="11">
        <v>1978</v>
      </c>
      <c r="B13" s="4" t="s">
        <v>52</v>
      </c>
      <c r="C13" s="5">
        <f>'PBG por tramo'!E13*'Coeficiente de empalme (A-B)'!$B$7*'Coeficiente de empalme (B-C)'!$B$5*'Coeficiente de empalme (B-C)'!$B$8</f>
        <v>7776596.6872590873</v>
      </c>
      <c r="D13" s="13">
        <f t="shared" si="0"/>
        <v>0.11289178467277927</v>
      </c>
    </row>
    <row r="14" spans="1:4" x14ac:dyDescent="0.3">
      <c r="A14" s="11">
        <v>1979</v>
      </c>
      <c r="B14" s="4" t="s">
        <v>52</v>
      </c>
      <c r="C14" s="5">
        <f>'PBG por tramo'!E14*'Coeficiente de empalme (A-B)'!$B$7*'Coeficiente de empalme (B-C)'!$B$5*'Coeficiente de empalme (B-C)'!$B$8</f>
        <v>8831283.8442067616</v>
      </c>
      <c r="D14" s="13">
        <f t="shared" si="0"/>
        <v>0.13562322946175653</v>
      </c>
    </row>
    <row r="15" spans="1:4" x14ac:dyDescent="0.3">
      <c r="A15" s="11">
        <v>1980</v>
      </c>
      <c r="B15" s="4" t="s">
        <v>52</v>
      </c>
      <c r="C15" s="5">
        <f>'PBG por tramo'!E15*'Coeficiente de empalme (A-B)'!$B$7*'Coeficiente de empalme (B-C)'!$B$5*'Coeficiente de empalme (B-C)'!$B$8</f>
        <v>7880137.7762962487</v>
      </c>
      <c r="D15" s="13">
        <f t="shared" si="0"/>
        <v>-0.10770190208917985</v>
      </c>
    </row>
    <row r="16" spans="1:4" x14ac:dyDescent="0.3">
      <c r="A16" s="11">
        <v>1981</v>
      </c>
      <c r="B16" s="4" t="s">
        <v>52</v>
      </c>
      <c r="C16" s="5">
        <f>'PBG por tramo'!E16*'Coeficiente de empalme (A-B)'!$B$7*'Coeficiente de empalme (B-C)'!$B$5*'Coeficiente de empalme (B-C)'!$B$8</f>
        <v>6459017.970912097</v>
      </c>
      <c r="D16" s="13">
        <f t="shared" si="0"/>
        <v>-0.18034199981362431</v>
      </c>
    </row>
    <row r="17" spans="1:4" x14ac:dyDescent="0.3">
      <c r="A17" s="11">
        <v>1982</v>
      </c>
      <c r="B17" s="4" t="s">
        <v>52</v>
      </c>
      <c r="C17" s="5">
        <f>'PBG por tramo'!E17*'Coeficiente de empalme (A-B)'!$B$7*'Coeficiente de empalme (B-C)'!$B$5*'Coeficiente de empalme (B-C)'!$B$8</f>
        <v>6616899.7733446481</v>
      </c>
      <c r="D17" s="13">
        <f t="shared" si="0"/>
        <v>2.4443623340818288E-2</v>
      </c>
    </row>
    <row r="18" spans="1:4" x14ac:dyDescent="0.3">
      <c r="A18" s="11">
        <v>1983</v>
      </c>
      <c r="B18" s="4" t="s">
        <v>52</v>
      </c>
      <c r="C18" s="5">
        <f>'PBG por tramo'!E18*'Coeficiente de empalme (A-B)'!$B$7*'Coeficiente de empalme (B-C)'!$B$5*'Coeficiente de empalme (B-C)'!$B$8</f>
        <v>7696921.452078009</v>
      </c>
      <c r="D18" s="13">
        <f t="shared" si="0"/>
        <v>0.16322170740504371</v>
      </c>
    </row>
    <row r="19" spans="1:4" x14ac:dyDescent="0.3">
      <c r="A19" s="11">
        <v>1984</v>
      </c>
      <c r="B19" s="4" t="s">
        <v>52</v>
      </c>
      <c r="C19" s="5">
        <f>'PBG por tramo'!E19*'Coeficiente de empalme (A-B)'!$B$7*'Coeficiente de empalme (B-C)'!$B$5*'Coeficiente de empalme (B-C)'!$B$8</f>
        <v>7424850.7181186629</v>
      </c>
      <c r="D19" s="13">
        <f t="shared" si="0"/>
        <v>-3.5347994084815926E-2</v>
      </c>
    </row>
    <row r="20" spans="1:4" x14ac:dyDescent="0.3">
      <c r="A20" s="11">
        <v>1985</v>
      </c>
      <c r="B20" s="4" t="s">
        <v>52</v>
      </c>
      <c r="C20" s="5">
        <f>'PBG por tramo'!E20*'Coeficiente de empalme (A-B)'!$B$7*'Coeficiente de empalme (B-C)'!$B$5*'Coeficiente de empalme (B-C)'!$B$8</f>
        <v>7060804.655067794</v>
      </c>
      <c r="D20" s="13">
        <f t="shared" si="0"/>
        <v>-4.9030758579764688E-2</v>
      </c>
    </row>
    <row r="21" spans="1:4" x14ac:dyDescent="0.3">
      <c r="A21" s="11">
        <v>1986</v>
      </c>
      <c r="B21" s="4" t="s">
        <v>53</v>
      </c>
      <c r="C21" s="5">
        <f>'PBG por tramo'!E22*'Coeficiente de empalme (B-C)'!$B$5*'Coeficiente de empalme (B-C)'!$B$8</f>
        <v>7564850.341788251</v>
      </c>
      <c r="D21" s="13">
        <f t="shared" si="0"/>
        <v>7.1386437005970027E-2</v>
      </c>
    </row>
    <row r="22" spans="1:4" x14ac:dyDescent="0.3">
      <c r="A22" s="11">
        <v>1987</v>
      </c>
      <c r="B22" s="4" t="s">
        <v>53</v>
      </c>
      <c r="C22" s="5">
        <f>'PBG por tramo'!E23*'Coeficiente de empalme (B-C)'!$B$5*'Coeficiente de empalme (B-C)'!$B$8</f>
        <v>7662186.6734616216</v>
      </c>
      <c r="D22" s="13">
        <f t="shared" si="0"/>
        <v>1.2866920993226394E-2</v>
      </c>
    </row>
    <row r="23" spans="1:4" x14ac:dyDescent="0.3">
      <c r="A23" s="11">
        <v>1988</v>
      </c>
      <c r="B23" s="4" t="s">
        <v>53</v>
      </c>
      <c r="C23" s="5">
        <f>'PBG por tramo'!E24*'Coeficiente de empalme (B-C)'!$B$5*'Coeficiente de empalme (B-C)'!$B$8</f>
        <v>7476209.3476174874</v>
      </c>
      <c r="D23" s="13">
        <f t="shared" si="0"/>
        <v>-2.4272095391290383E-2</v>
      </c>
    </row>
    <row r="24" spans="1:4" x14ac:dyDescent="0.3">
      <c r="A24" s="11">
        <v>1989</v>
      </c>
      <c r="B24" s="4" t="s">
        <v>53</v>
      </c>
      <c r="C24" s="5">
        <f>'PBG por tramo'!E25*'Coeficiente de empalme (B-C)'!$B$5*'Coeficiente de empalme (B-C)'!$B$8</f>
        <v>7163476.8417938603</v>
      </c>
      <c r="D24" s="13">
        <f t="shared" si="0"/>
        <v>-4.1830356974057792E-2</v>
      </c>
    </row>
    <row r="25" spans="1:4" x14ac:dyDescent="0.3">
      <c r="A25" s="11">
        <v>1990</v>
      </c>
      <c r="B25" s="4" t="s">
        <v>53</v>
      </c>
      <c r="C25" s="5">
        <f>'PBG por tramo'!E26*'Coeficiente de empalme (B-C)'!$B$5*'Coeficiente de empalme (B-C)'!$B$8</f>
        <v>7169611.0688356869</v>
      </c>
      <c r="D25" s="13">
        <f t="shared" si="0"/>
        <v>8.5631979795586233E-4</v>
      </c>
    </row>
    <row r="26" spans="1:4" x14ac:dyDescent="0.3">
      <c r="A26" s="11">
        <v>1991</v>
      </c>
      <c r="B26" s="4" t="s">
        <v>54</v>
      </c>
      <c r="C26" s="5">
        <f>'PBG por tramo'!E31*'Coeficiente de empalme (B-C)'!$B$8</f>
        <v>7014604.4430224905</v>
      </c>
      <c r="D26" s="13">
        <f t="shared" si="0"/>
        <v>-2.1619949021637663E-2</v>
      </c>
    </row>
    <row r="27" spans="1:4" x14ac:dyDescent="0.3">
      <c r="A27" s="11">
        <v>1992</v>
      </c>
      <c r="B27" s="4" t="s">
        <v>54</v>
      </c>
      <c r="C27" s="5">
        <f>'PBG por tramo'!E32*'Coeficiente de empalme (B-C)'!$B$8</f>
        <v>7608953.647225867</v>
      </c>
      <c r="D27" s="13">
        <f t="shared" si="0"/>
        <v>8.4730252294494379E-2</v>
      </c>
    </row>
    <row r="28" spans="1:4" x14ac:dyDescent="0.3">
      <c r="A28" s="11">
        <v>1993</v>
      </c>
      <c r="B28" s="4" t="s">
        <v>54</v>
      </c>
      <c r="C28" s="5">
        <f>'PBG por tramo'!E33*'Coeficiente de empalme (B-C)'!$B$8</f>
        <v>8394703.8409033343</v>
      </c>
      <c r="D28" s="13">
        <f t="shared" si="0"/>
        <v>0.10326652390160662</v>
      </c>
    </row>
    <row r="29" spans="1:4" x14ac:dyDescent="0.3">
      <c r="A29" s="11">
        <v>1994</v>
      </c>
      <c r="B29" s="4" t="s">
        <v>54</v>
      </c>
      <c r="C29" s="5">
        <f>'PBG por tramo'!E34*'Coeficiente de empalme (B-C)'!$B$8</f>
        <v>8758677.7459252588</v>
      </c>
      <c r="D29" s="13">
        <f t="shared" si="0"/>
        <v>4.3357563520997067E-2</v>
      </c>
    </row>
    <row r="30" spans="1:4" x14ac:dyDescent="0.3">
      <c r="A30" s="11">
        <v>1995</v>
      </c>
      <c r="B30" s="4" t="s">
        <v>54</v>
      </c>
      <c r="C30" s="5">
        <f>'PBG por tramo'!E35*'Coeficiente de empalme (B-C)'!$B$8</f>
        <v>8554024.2171968576</v>
      </c>
      <c r="D30" s="13">
        <f t="shared" si="0"/>
        <v>-2.336580185560666E-2</v>
      </c>
    </row>
    <row r="31" spans="1:4" x14ac:dyDescent="0.3">
      <c r="A31" s="11">
        <v>1996</v>
      </c>
      <c r="B31" s="4" t="s">
        <v>54</v>
      </c>
      <c r="C31" s="5">
        <f>'PBG por tramo'!E36*'Coeficiente de empalme (B-C)'!$B$8</f>
        <v>8799057.0415878613</v>
      </c>
      <c r="D31" s="13">
        <f t="shared" si="0"/>
        <v>2.8645327411909172E-2</v>
      </c>
    </row>
    <row r="32" spans="1:4" x14ac:dyDescent="0.3">
      <c r="A32" s="11">
        <v>1997</v>
      </c>
      <c r="B32" s="4" t="s">
        <v>54</v>
      </c>
      <c r="C32" s="5">
        <f>'PBG por tramo'!E37*'Coeficiente de empalme (B-C)'!$B$8</f>
        <v>9632521.1279348768</v>
      </c>
      <c r="D32" s="13">
        <f t="shared" si="0"/>
        <v>9.4721977867370466E-2</v>
      </c>
    </row>
    <row r="33" spans="1:4" x14ac:dyDescent="0.3">
      <c r="A33" s="11">
        <v>1998</v>
      </c>
      <c r="B33" s="4" t="s">
        <v>54</v>
      </c>
      <c r="C33" s="5">
        <f>'PBG por tramo'!E38*'Coeficiente de empalme (B-C)'!$B$8</f>
        <v>10262365.509435022</v>
      </c>
      <c r="D33" s="13">
        <f t="shared" si="0"/>
        <v>6.5387282637103139E-2</v>
      </c>
    </row>
    <row r="34" spans="1:4" x14ac:dyDescent="0.3">
      <c r="A34" s="11">
        <v>1999</v>
      </c>
      <c r="B34" s="4" t="s">
        <v>54</v>
      </c>
      <c r="C34" s="5">
        <f>'PBG por tramo'!E39*'Coeficiente de empalme (B-C)'!$B$8</f>
        <v>10007457.552320169</v>
      </c>
      <c r="D34" s="13">
        <f t="shared" si="0"/>
        <v>-2.4839103312047861E-2</v>
      </c>
    </row>
    <row r="35" spans="1:4" x14ac:dyDescent="0.3">
      <c r="A35" s="11">
        <v>2000</v>
      </c>
      <c r="B35" s="4" t="s">
        <v>54</v>
      </c>
      <c r="C35" s="5">
        <f>'PBG por tramo'!E40*'Coeficiente de empalme (B-C)'!$B$8</f>
        <v>9736438.4054777417</v>
      </c>
      <c r="D35" s="13">
        <f t="shared" si="0"/>
        <v>-2.7081718351090411E-2</v>
      </c>
    </row>
    <row r="36" spans="1:4" x14ac:dyDescent="0.3">
      <c r="A36" s="11">
        <v>2001</v>
      </c>
      <c r="B36" s="4" t="s">
        <v>54</v>
      </c>
      <c r="C36" s="5">
        <f>'PBG por tramo'!E41*'Coeficiente de empalme (B-C)'!$B$8</f>
        <v>9001995.9332073387</v>
      </c>
      <c r="D36" s="13">
        <f t="shared" si="0"/>
        <v>-7.5432354387124145E-2</v>
      </c>
    </row>
    <row r="37" spans="1:4" x14ac:dyDescent="0.3">
      <c r="A37" s="11">
        <v>2002</v>
      </c>
      <c r="B37" s="4" t="s">
        <v>54</v>
      </c>
      <c r="C37" s="5">
        <f>'PBG por tramo'!E42*'Coeficiente de empalme (B-C)'!$B$8</f>
        <v>8406265.7469327673</v>
      </c>
      <c r="D37" s="13">
        <f t="shared" si="0"/>
        <v>-6.6177566696846712E-2</v>
      </c>
    </row>
    <row r="38" spans="1:4" x14ac:dyDescent="0.3">
      <c r="A38" s="11">
        <v>2003</v>
      </c>
      <c r="B38" s="4" t="s">
        <v>54</v>
      </c>
      <c r="C38" s="5">
        <f>'PBG por tramo'!E43*'Coeficiente de empalme (B-C)'!$B$8</f>
        <v>10101895.220762277</v>
      </c>
      <c r="D38" s="13">
        <f t="shared" ref="D38:D57" si="1">C38/C37-1</f>
        <v>0.20171019152567249</v>
      </c>
    </row>
    <row r="39" spans="1:4" x14ac:dyDescent="0.3">
      <c r="A39" s="11">
        <v>2004</v>
      </c>
      <c r="B39" s="4" t="s">
        <v>55</v>
      </c>
      <c r="C39" s="5">
        <f>'PBG por tramo'!E45*'Coeficiente de empalme (B-C)'!$B$8</f>
        <v>11762122.311525308</v>
      </c>
      <c r="D39" s="13">
        <f t="shared" si="1"/>
        <v>0.16434808068002815</v>
      </c>
    </row>
    <row r="40" spans="1:4" x14ac:dyDescent="0.3">
      <c r="A40" s="11">
        <v>2005</v>
      </c>
      <c r="B40" s="4" t="s">
        <v>55</v>
      </c>
      <c r="C40" s="5">
        <f>'PBG por tramo'!E46*'Coeficiente de empalme (B-C)'!$B$8</f>
        <v>12309223.356326474</v>
      </c>
      <c r="D40" s="13">
        <f t="shared" si="1"/>
        <v>4.6513803403071208E-2</v>
      </c>
    </row>
    <row r="41" spans="1:4" x14ac:dyDescent="0.3">
      <c r="A41" s="11">
        <v>2006</v>
      </c>
      <c r="B41" s="4" t="s">
        <v>55</v>
      </c>
      <c r="C41" s="5">
        <f>'PBG por tramo'!E47*'Coeficiente de empalme (B-C)'!$B$8</f>
        <v>13259436.594352694</v>
      </c>
      <c r="D41" s="13">
        <f t="shared" si="1"/>
        <v>7.7195222681360143E-2</v>
      </c>
    </row>
    <row r="42" spans="1:4" x14ac:dyDescent="0.3">
      <c r="A42" s="11">
        <v>2007</v>
      </c>
      <c r="B42" s="4" t="s">
        <v>55</v>
      </c>
      <c r="C42" s="5">
        <f>'PBG por tramo'!E48*'Coeficiente de empalme (B-C)'!$B$8</f>
        <v>13812573.217410319</v>
      </c>
      <c r="D42" s="13">
        <f t="shared" si="1"/>
        <v>4.1716449950309986E-2</v>
      </c>
    </row>
    <row r="43" spans="1:4" x14ac:dyDescent="0.3">
      <c r="A43" s="11">
        <v>2008</v>
      </c>
      <c r="B43" s="4" t="s">
        <v>55</v>
      </c>
      <c r="C43" s="5">
        <f>'PBG por tramo'!E49*'Coeficiente de empalme (B-C)'!$B$8</f>
        <v>14131050.687456433</v>
      </c>
      <c r="D43" s="13">
        <f t="shared" si="1"/>
        <v>2.3057070180426908E-2</v>
      </c>
    </row>
    <row r="44" spans="1:4" x14ac:dyDescent="0.3">
      <c r="A44" s="11">
        <v>2009</v>
      </c>
      <c r="B44" s="4" t="s">
        <v>55</v>
      </c>
      <c r="C44" s="5">
        <f>'PBG por tramo'!E50*'Coeficiente de empalme (B-C)'!$B$8</f>
        <v>13736909.129691008</v>
      </c>
      <c r="D44" s="13">
        <f t="shared" si="1"/>
        <v>-2.7891879130777397E-2</v>
      </c>
    </row>
    <row r="45" spans="1:4" x14ac:dyDescent="0.3">
      <c r="A45" s="11">
        <v>2010</v>
      </c>
      <c r="B45" s="4" t="s">
        <v>55</v>
      </c>
      <c r="C45" s="5">
        <f>'PBG por tramo'!E51*'Coeficiente de empalme (B-C)'!$B$8</f>
        <v>14344401.024201935</v>
      </c>
      <c r="D45" s="13">
        <f t="shared" si="1"/>
        <v>4.4223332102990343E-2</v>
      </c>
    </row>
    <row r="46" spans="1:4" x14ac:dyDescent="0.3">
      <c r="A46" s="11">
        <v>2011</v>
      </c>
      <c r="B46" s="4" t="s">
        <v>55</v>
      </c>
      <c r="C46" s="5">
        <f>'PBG por tramo'!E52*'Coeficiente de empalme (B-C)'!$B$8</f>
        <v>14860479.787137467</v>
      </c>
      <c r="D46" s="13">
        <f t="shared" si="1"/>
        <v>3.5977714375441838E-2</v>
      </c>
    </row>
    <row r="47" spans="1:4" x14ac:dyDescent="0.3">
      <c r="A47" s="11">
        <v>2012</v>
      </c>
      <c r="B47" s="4" t="s">
        <v>55</v>
      </c>
      <c r="C47" s="5">
        <f>'PBG por tramo'!E53*'Coeficiente de empalme (B-C)'!$B$8</f>
        <v>14650114.275526542</v>
      </c>
      <c r="D47" s="13">
        <f t="shared" si="1"/>
        <v>-1.4156037666630872E-2</v>
      </c>
    </row>
    <row r="48" spans="1:4" x14ac:dyDescent="0.3">
      <c r="A48" s="11">
        <v>2013</v>
      </c>
      <c r="B48" s="4" t="s">
        <v>55</v>
      </c>
      <c r="C48" s="5">
        <f>'PBG por tramo'!E54*'Coeficiente de empalme (B-C)'!$B$8</f>
        <v>15370910.462420139</v>
      </c>
      <c r="D48" s="13">
        <f t="shared" si="1"/>
        <v>4.9200721123227709E-2</v>
      </c>
    </row>
    <row r="49" spans="1:4" x14ac:dyDescent="0.3">
      <c r="A49" s="11">
        <v>2014</v>
      </c>
      <c r="B49" s="4" t="s">
        <v>55</v>
      </c>
      <c r="C49" s="5">
        <f>'PBG por tramo'!E55*'Coeficiente de empalme (B-C)'!$B$8</f>
        <v>14804605.691369256</v>
      </c>
      <c r="D49" s="13">
        <f t="shared" si="1"/>
        <v>-3.6842630268091425E-2</v>
      </c>
    </row>
    <row r="50" spans="1:4" x14ac:dyDescent="0.3">
      <c r="A50" s="11">
        <v>2015</v>
      </c>
      <c r="B50" s="4" t="s">
        <v>55</v>
      </c>
      <c r="C50" s="5">
        <f>'PBG por tramo'!E56*'Coeficiente de empalme (B-C)'!$B$8</f>
        <v>15347103.8325994</v>
      </c>
      <c r="D50" s="13">
        <f t="shared" si="1"/>
        <v>3.6643876408434695E-2</v>
      </c>
    </row>
    <row r="51" spans="1:4" x14ac:dyDescent="0.3">
      <c r="A51" s="11">
        <v>2016</v>
      </c>
      <c r="B51" s="4" t="s">
        <v>55</v>
      </c>
      <c r="C51" s="5">
        <f>'PBG por tramo'!E57*'Coeficiente de empalme (B-C)'!$B$8</f>
        <v>14463992.613713844</v>
      </c>
      <c r="D51" s="13">
        <f t="shared" si="1"/>
        <v>-5.754253235777973E-2</v>
      </c>
    </row>
    <row r="52" spans="1:4" x14ac:dyDescent="0.3">
      <c r="A52" s="11">
        <v>2017</v>
      </c>
      <c r="B52" s="4" t="s">
        <v>55</v>
      </c>
      <c r="C52" s="5">
        <f>'PBG por tramo'!E58*'Coeficiente de empalme (B-C)'!$B$8</f>
        <v>14769528.197201794</v>
      </c>
      <c r="D52" s="13">
        <f t="shared" si="1"/>
        <v>2.1123875796110525E-2</v>
      </c>
    </row>
    <row r="53" spans="1:4" x14ac:dyDescent="0.3">
      <c r="A53" s="11">
        <v>2018</v>
      </c>
      <c r="B53" s="4" t="s">
        <v>55</v>
      </c>
      <c r="C53" s="5">
        <f>'PBG por tramo'!E59*'Coeficiente de empalme (B-C)'!$B$8</f>
        <v>14693941.876286181</v>
      </c>
      <c r="D53" s="13">
        <f t="shared" si="1"/>
        <v>-5.1177207495317623E-3</v>
      </c>
    </row>
    <row r="54" spans="1:4" x14ac:dyDescent="0.3">
      <c r="A54" s="11">
        <v>2019</v>
      </c>
      <c r="B54" s="4" t="s">
        <v>55</v>
      </c>
      <c r="C54" s="5">
        <f>'PBG por tramo'!E60*'Coeficiente de empalme (B-C)'!$B$8</f>
        <v>14504929.052964482</v>
      </c>
      <c r="D54" s="13">
        <f t="shared" si="1"/>
        <v>-1.2863316386648838E-2</v>
      </c>
    </row>
    <row r="55" spans="1:4" x14ac:dyDescent="0.3">
      <c r="A55" s="11">
        <v>2020</v>
      </c>
      <c r="B55" s="4" t="s">
        <v>55</v>
      </c>
      <c r="C55" s="5">
        <f>'PBG por tramo'!E61*'Coeficiente de empalme (B-C)'!$B$8</f>
        <v>13349577.657364719</v>
      </c>
      <c r="D55" s="13">
        <f t="shared" si="1"/>
        <v>-7.9652330003202265E-2</v>
      </c>
    </row>
    <row r="56" spans="1:4" x14ac:dyDescent="0.3">
      <c r="A56" s="11">
        <v>2021</v>
      </c>
      <c r="B56" s="4" t="s">
        <v>55</v>
      </c>
      <c r="C56" s="5">
        <f>'PBG por tramo'!E62*'Coeficiente de empalme (B-C)'!$B$8</f>
        <v>14748324.048609359</v>
      </c>
      <c r="D56" s="13">
        <f t="shared" si="1"/>
        <v>0.1047783253631982</v>
      </c>
    </row>
    <row r="57" spans="1:4" x14ac:dyDescent="0.3">
      <c r="A57" s="17">
        <v>2022</v>
      </c>
      <c r="B57" s="18" t="s">
        <v>55</v>
      </c>
      <c r="C57" s="19">
        <f>'PBG por tramo'!E63*'Coeficiente de empalme (B-C)'!$B$8</f>
        <v>15335413.845832191</v>
      </c>
      <c r="D57" s="20">
        <f t="shared" si="1"/>
        <v>3.9807221165457873E-2</v>
      </c>
    </row>
  </sheetData>
  <mergeCells count="2">
    <mergeCell ref="A1:D1"/>
    <mergeCell ref="A2:D2"/>
  </mergeCells>
  <pageMargins left="0.75" right="0.75" top="1" bottom="1" header="0.511811023622047" footer="0.511811023622047"/>
  <pageSetup paperSize="9" orientation="portrait" horizontalDpi="300" verticalDpi="300"/>
  <drawing r:id="rId1"/>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Notas</vt:lpstr>
      <vt:lpstr>PBG por tramo</vt:lpstr>
      <vt:lpstr>IPC INDEC</vt:lpstr>
      <vt:lpstr>Coeficiente de empalme (B-C)</vt:lpstr>
      <vt:lpstr>PBI Ferreres (nacional)</vt:lpstr>
      <vt:lpstr>Coeficiente de empalme (A-B)</vt:lpstr>
      <vt:lpstr>PBG a precios de 1999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Agustina Juarez</cp:lastModifiedBy>
  <cp:revision>0</cp:revision>
  <dcterms:created xsi:type="dcterms:W3CDTF">2026-08-14T17:55:18Z</dcterms:created>
  <dcterms:modified xsi:type="dcterms:W3CDTF">2026-08-20T20:44:59Z</dcterms:modified>
  <dc:language>en-US</dc:language>
</cp:coreProperties>
</file>