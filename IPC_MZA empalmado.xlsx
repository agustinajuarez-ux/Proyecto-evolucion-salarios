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71a82d91f2470ed/Escritorio/ECONOMIA/3 AÑO/Lab Ciencia de Datos/Proyecto historia economica/Proyecto-evolucion-salarios/"/>
    </mc:Choice>
  </mc:AlternateContent>
  <xr:revisionPtr revIDLastSave="0" documentId="8_{32C7C05E-9AEA-4A50-BA67-0CB596F446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5" i="1"/>
  <c r="D2" i="2"/>
  <c r="G6" i="2"/>
  <c r="G7" i="2"/>
  <c r="G8" i="2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5" i="2"/>
  <c r="G1" i="2"/>
  <c r="G2" i="2"/>
  <c r="G3" i="2"/>
  <c r="G4" i="2"/>
  <c r="E3" i="2"/>
  <c r="E4" i="2"/>
  <c r="E5" i="2"/>
  <c r="E6" i="2"/>
  <c r="E7" i="2"/>
  <c r="E8" i="2"/>
  <c r="E9" i="2"/>
  <c r="E1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</calcChain>
</file>

<file path=xl/sharedStrings.xml><?xml version="1.0" encoding="utf-8"?>
<sst xmlns="http://schemas.openxmlformats.org/spreadsheetml/2006/main" count="4" uniqueCount="4">
  <si>
    <t>IPC_MZA</t>
  </si>
  <si>
    <t>A</t>
  </si>
  <si>
    <t>T</t>
  </si>
  <si>
    <t>IPC_MZA: índice de precios, empalme Indec hasta 2007, San Luis hasta 2015, DEIE hasta 2018T1 e Indec Cuyo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</si>
</sst>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43" fontId="2" fillId="0" borderId="1" xfId="0" applyNumberFormat="1" applyFont="1" applyBorder="1" applyAlignment="1">
      <alignment horizontal="right"/>
    </xf>
    <xf numFmtId="9" fontId="0" fillId="0" borderId="0" xfId="1" applyFont="1"/>
    <xf numFmtId="43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workbookViewId="0">
      <selection activeCell="E5" sqref="E5"/>
    </sheetView>
  </sheetViews>
  <sheetFormatPr baseColWidth="10" defaultRowHeight="14.4" x14ac:dyDescent="0.3"/>
  <sheetData>
    <row r="1" spans="1:4" x14ac:dyDescent="0.3">
      <c r="A1" s="4" t="s">
        <v>3</v>
      </c>
    </row>
    <row r="2" spans="1:4" x14ac:dyDescent="0.3">
      <c r="A2" s="1" t="s">
        <v>1</v>
      </c>
      <c r="B2" s="1" t="s">
        <v>2</v>
      </c>
      <c r="C2" s="1" t="s">
        <v>0</v>
      </c>
    </row>
    <row r="3" spans="1:4" x14ac:dyDescent="0.3">
      <c r="A3" s="3">
        <v>2003</v>
      </c>
      <c r="B3" s="3">
        <v>3</v>
      </c>
      <c r="C3" s="2">
        <v>37.67</v>
      </c>
    </row>
    <row r="4" spans="1:4" x14ac:dyDescent="0.3">
      <c r="A4" s="3">
        <v>2003</v>
      </c>
      <c r="B4" s="3">
        <v>4</v>
      </c>
      <c r="C4" s="2">
        <v>38.25</v>
      </c>
    </row>
    <row r="5" spans="1:4" x14ac:dyDescent="0.3">
      <c r="A5" s="3">
        <v>2004</v>
      </c>
      <c r="B5" s="3">
        <v>1</v>
      </c>
      <c r="C5" s="2">
        <v>38.549999999999997</v>
      </c>
      <c r="D5" s="5">
        <f>AVERAGE(C5:C8)</f>
        <v>39.69</v>
      </c>
    </row>
    <row r="6" spans="1:4" x14ac:dyDescent="0.3">
      <c r="A6" s="3">
        <v>2004</v>
      </c>
      <c r="B6" s="3">
        <v>2</v>
      </c>
      <c r="C6" s="2">
        <v>39.619999999999997</v>
      </c>
    </row>
    <row r="7" spans="1:4" x14ac:dyDescent="0.3">
      <c r="A7" s="3">
        <v>2004</v>
      </c>
      <c r="B7" s="3">
        <v>3</v>
      </c>
      <c r="C7" s="2">
        <v>40.15</v>
      </c>
    </row>
    <row r="8" spans="1:4" x14ac:dyDescent="0.3">
      <c r="A8" s="3">
        <v>2004</v>
      </c>
      <c r="B8" s="3">
        <v>4</v>
      </c>
      <c r="C8" s="2">
        <v>40.44</v>
      </c>
    </row>
    <row r="9" spans="1:4" x14ac:dyDescent="0.3">
      <c r="A9" s="3">
        <v>2005</v>
      </c>
      <c r="B9" s="3">
        <v>1</v>
      </c>
      <c r="C9" s="2">
        <v>40.840000000000003</v>
      </c>
      <c r="D9" s="5">
        <f>AVERAGE(C9:C12)</f>
        <v>42.664999999999999</v>
      </c>
    </row>
    <row r="10" spans="1:4" x14ac:dyDescent="0.3">
      <c r="A10" s="3">
        <v>2005</v>
      </c>
      <c r="B10" s="3">
        <v>2</v>
      </c>
      <c r="C10" s="2">
        <v>42.17</v>
      </c>
    </row>
    <row r="11" spans="1:4" x14ac:dyDescent="0.3">
      <c r="A11" s="3">
        <v>2005</v>
      </c>
      <c r="B11" s="3">
        <v>3</v>
      </c>
      <c r="C11" s="2">
        <v>43.12</v>
      </c>
    </row>
    <row r="12" spans="1:4" x14ac:dyDescent="0.3">
      <c r="A12" s="3">
        <v>2005</v>
      </c>
      <c r="B12" s="3">
        <v>4</v>
      </c>
      <c r="C12" s="2">
        <v>44.53</v>
      </c>
    </row>
    <row r="13" spans="1:4" x14ac:dyDescent="0.3">
      <c r="A13" s="3">
        <v>2006</v>
      </c>
      <c r="B13" s="3">
        <v>1</v>
      </c>
      <c r="C13" s="2">
        <v>45.7</v>
      </c>
      <c r="D13" s="5">
        <f>AVERAGE(C13:C16)</f>
        <v>47.187500000000007</v>
      </c>
    </row>
    <row r="14" spans="1:4" x14ac:dyDescent="0.3">
      <c r="A14" s="3">
        <v>2006</v>
      </c>
      <c r="B14" s="3">
        <v>2</v>
      </c>
      <c r="C14" s="2">
        <v>46.88</v>
      </c>
    </row>
    <row r="15" spans="1:4" x14ac:dyDescent="0.3">
      <c r="A15" s="3">
        <v>2006</v>
      </c>
      <c r="B15" s="3">
        <v>3</v>
      </c>
      <c r="C15" s="2">
        <v>47.49</v>
      </c>
    </row>
    <row r="16" spans="1:4" x14ac:dyDescent="0.3">
      <c r="A16" s="3">
        <v>2006</v>
      </c>
      <c r="B16" s="3">
        <v>4</v>
      </c>
      <c r="C16" s="2">
        <v>48.68</v>
      </c>
    </row>
    <row r="17" spans="1:4" x14ac:dyDescent="0.3">
      <c r="A17" s="3">
        <v>2007</v>
      </c>
      <c r="B17" s="3">
        <v>1</v>
      </c>
      <c r="C17" s="2">
        <v>50.29</v>
      </c>
      <c r="D17" s="5">
        <f>AVERAGE(C17:C20)</f>
        <v>55.094999999999999</v>
      </c>
    </row>
    <row r="18" spans="1:4" x14ac:dyDescent="0.3">
      <c r="A18" s="3">
        <v>2007</v>
      </c>
      <c r="B18" s="3">
        <v>2</v>
      </c>
      <c r="C18" s="2">
        <v>53.09</v>
      </c>
    </row>
    <row r="19" spans="1:4" x14ac:dyDescent="0.3">
      <c r="A19" s="3">
        <v>2007</v>
      </c>
      <c r="B19" s="3">
        <v>3</v>
      </c>
      <c r="C19" s="2">
        <v>57.4</v>
      </c>
    </row>
    <row r="20" spans="1:4" x14ac:dyDescent="0.3">
      <c r="A20" s="3">
        <v>2007</v>
      </c>
      <c r="B20" s="3">
        <v>4</v>
      </c>
      <c r="C20" s="2">
        <v>59.6</v>
      </c>
    </row>
    <row r="21" spans="1:4" x14ac:dyDescent="0.3">
      <c r="A21" s="3">
        <v>2008</v>
      </c>
      <c r="B21" s="3">
        <v>1</v>
      </c>
      <c r="C21" s="2">
        <v>62.94</v>
      </c>
      <c r="D21" s="5">
        <f>AVERAGE(C21:C24)</f>
        <v>68.252499999999998</v>
      </c>
    </row>
    <row r="22" spans="1:4" x14ac:dyDescent="0.3">
      <c r="A22" s="3">
        <v>2008</v>
      </c>
      <c r="B22" s="3">
        <v>2</v>
      </c>
      <c r="C22" s="2">
        <v>67.69</v>
      </c>
    </row>
    <row r="23" spans="1:4" x14ac:dyDescent="0.3">
      <c r="A23" s="3">
        <v>2008</v>
      </c>
      <c r="B23" s="3">
        <v>3</v>
      </c>
      <c r="C23" s="2">
        <v>70.430000000000007</v>
      </c>
    </row>
    <row r="24" spans="1:4" x14ac:dyDescent="0.3">
      <c r="A24" s="3">
        <v>2008</v>
      </c>
      <c r="B24" s="3">
        <v>4</v>
      </c>
      <c r="C24" s="2">
        <v>71.95</v>
      </c>
    </row>
    <row r="25" spans="1:4" x14ac:dyDescent="0.3">
      <c r="A25" s="3">
        <v>2009</v>
      </c>
      <c r="B25" s="3">
        <v>1</v>
      </c>
      <c r="C25" s="2">
        <v>73.72</v>
      </c>
      <c r="D25" s="5">
        <f>AVERAGE(C25:C28)</f>
        <v>78.389999999999986</v>
      </c>
    </row>
    <row r="26" spans="1:4" x14ac:dyDescent="0.3">
      <c r="A26" s="3">
        <v>2009</v>
      </c>
      <c r="B26" s="3">
        <v>2</v>
      </c>
      <c r="C26" s="2">
        <v>76.8</v>
      </c>
    </row>
    <row r="27" spans="1:4" x14ac:dyDescent="0.3">
      <c r="A27" s="3">
        <v>2009</v>
      </c>
      <c r="B27" s="3">
        <v>3</v>
      </c>
      <c r="C27" s="2">
        <v>79.44</v>
      </c>
    </row>
    <row r="28" spans="1:4" x14ac:dyDescent="0.3">
      <c r="A28" s="3">
        <v>2009</v>
      </c>
      <c r="B28" s="3">
        <v>4</v>
      </c>
      <c r="C28" s="2">
        <v>83.6</v>
      </c>
    </row>
    <row r="29" spans="1:4" x14ac:dyDescent="0.3">
      <c r="A29" s="3">
        <v>2010</v>
      </c>
      <c r="B29" s="3">
        <v>1</v>
      </c>
      <c r="C29" s="2">
        <v>90.93</v>
      </c>
      <c r="D29" s="5">
        <f>AVERAGE(C29:C32)</f>
        <v>98.655000000000001</v>
      </c>
    </row>
    <row r="30" spans="1:4" x14ac:dyDescent="0.3">
      <c r="A30" s="3">
        <v>2010</v>
      </c>
      <c r="B30" s="3">
        <v>2</v>
      </c>
      <c r="C30" s="2">
        <v>96.43</v>
      </c>
    </row>
    <row r="31" spans="1:4" x14ac:dyDescent="0.3">
      <c r="A31" s="3">
        <v>2010</v>
      </c>
      <c r="B31" s="3">
        <v>3</v>
      </c>
      <c r="C31" s="2">
        <v>100.3</v>
      </c>
    </row>
    <row r="32" spans="1:4" x14ac:dyDescent="0.3">
      <c r="A32" s="3">
        <v>2010</v>
      </c>
      <c r="B32" s="3">
        <v>4</v>
      </c>
      <c r="C32" s="2">
        <v>106.96</v>
      </c>
    </row>
    <row r="33" spans="1:4" x14ac:dyDescent="0.3">
      <c r="A33" s="3">
        <v>2011</v>
      </c>
      <c r="B33" s="3">
        <v>1</v>
      </c>
      <c r="C33" s="2">
        <v>111.82</v>
      </c>
      <c r="D33" s="5">
        <f>AVERAGE(C33:C36)</f>
        <v>122.185</v>
      </c>
    </row>
    <row r="34" spans="1:4" x14ac:dyDescent="0.3">
      <c r="A34" s="3">
        <v>2011</v>
      </c>
      <c r="B34" s="3">
        <v>2</v>
      </c>
      <c r="C34" s="2">
        <v>119.1</v>
      </c>
    </row>
    <row r="35" spans="1:4" x14ac:dyDescent="0.3">
      <c r="A35" s="3">
        <v>2011</v>
      </c>
      <c r="B35" s="3">
        <v>3</v>
      </c>
      <c r="C35" s="2">
        <v>125.89</v>
      </c>
    </row>
    <row r="36" spans="1:4" x14ac:dyDescent="0.3">
      <c r="A36" s="3">
        <v>2011</v>
      </c>
      <c r="B36" s="3">
        <v>4</v>
      </c>
      <c r="C36" s="2">
        <v>131.93</v>
      </c>
    </row>
    <row r="37" spans="1:4" x14ac:dyDescent="0.3">
      <c r="A37" s="3">
        <v>2012</v>
      </c>
      <c r="B37" s="3">
        <v>1</v>
      </c>
      <c r="C37" s="2">
        <v>138.61000000000001</v>
      </c>
      <c r="D37" s="5">
        <f>AVERAGE(C37:C40)</f>
        <v>151.07</v>
      </c>
    </row>
    <row r="38" spans="1:4" x14ac:dyDescent="0.3">
      <c r="A38" s="3">
        <v>2012</v>
      </c>
      <c r="B38" s="3">
        <v>2</v>
      </c>
      <c r="C38" s="2">
        <v>147.74</v>
      </c>
    </row>
    <row r="39" spans="1:4" x14ac:dyDescent="0.3">
      <c r="A39" s="3">
        <v>2012</v>
      </c>
      <c r="B39" s="3">
        <v>3</v>
      </c>
      <c r="C39" s="2">
        <v>155.18</v>
      </c>
    </row>
    <row r="40" spans="1:4" x14ac:dyDescent="0.3">
      <c r="A40" s="3">
        <v>2012</v>
      </c>
      <c r="B40" s="3">
        <v>4</v>
      </c>
      <c r="C40" s="2">
        <v>162.75</v>
      </c>
    </row>
    <row r="41" spans="1:4" x14ac:dyDescent="0.3">
      <c r="A41" s="3">
        <v>2013</v>
      </c>
      <c r="B41" s="3">
        <v>1</v>
      </c>
      <c r="C41" s="2">
        <v>172.02</v>
      </c>
      <c r="D41" s="5">
        <f>AVERAGE(C41:C44)</f>
        <v>190.21</v>
      </c>
    </row>
    <row r="42" spans="1:4" x14ac:dyDescent="0.3">
      <c r="A42" s="3">
        <v>2013</v>
      </c>
      <c r="B42" s="3">
        <v>2</v>
      </c>
      <c r="C42" s="2">
        <v>182.85</v>
      </c>
    </row>
    <row r="43" spans="1:4" x14ac:dyDescent="0.3">
      <c r="A43" s="3">
        <v>2013</v>
      </c>
      <c r="B43" s="3">
        <v>3</v>
      </c>
      <c r="C43" s="2">
        <v>194.73</v>
      </c>
    </row>
    <row r="44" spans="1:4" x14ac:dyDescent="0.3">
      <c r="A44" s="3">
        <v>2013</v>
      </c>
      <c r="B44" s="3">
        <v>4</v>
      </c>
      <c r="C44" s="2">
        <v>211.24</v>
      </c>
    </row>
    <row r="45" spans="1:4" x14ac:dyDescent="0.3">
      <c r="A45" s="3">
        <v>2014</v>
      </c>
      <c r="B45" s="3">
        <v>1</v>
      </c>
      <c r="C45" s="2">
        <v>240.96</v>
      </c>
      <c r="D45" s="5">
        <f>AVERAGE(C45:C48)</f>
        <v>271.39999999999998</v>
      </c>
    </row>
    <row r="46" spans="1:4" x14ac:dyDescent="0.3">
      <c r="A46" s="3">
        <v>2014</v>
      </c>
      <c r="B46" s="3">
        <v>2</v>
      </c>
      <c r="C46" s="2">
        <v>264.06</v>
      </c>
    </row>
    <row r="47" spans="1:4" x14ac:dyDescent="0.3">
      <c r="A47" s="3">
        <v>2014</v>
      </c>
      <c r="B47" s="3">
        <v>3</v>
      </c>
      <c r="C47" s="2">
        <v>282.24</v>
      </c>
    </row>
    <row r="48" spans="1:4" x14ac:dyDescent="0.3">
      <c r="A48" s="3">
        <v>2014</v>
      </c>
      <c r="B48" s="3">
        <v>4</v>
      </c>
      <c r="C48" s="2">
        <v>298.33999999999997</v>
      </c>
    </row>
    <row r="49" spans="1:4" x14ac:dyDescent="0.3">
      <c r="A49" s="3">
        <v>2015</v>
      </c>
      <c r="B49" s="3">
        <v>1</v>
      </c>
      <c r="C49" s="2">
        <v>313.51</v>
      </c>
      <c r="D49" s="5">
        <f>AVERAGE(C49:C52)</f>
        <v>343.50750000000005</v>
      </c>
    </row>
    <row r="50" spans="1:4" x14ac:dyDescent="0.3">
      <c r="A50" s="3">
        <v>2015</v>
      </c>
      <c r="B50" s="3">
        <v>2</v>
      </c>
      <c r="C50" s="2">
        <v>331.17</v>
      </c>
    </row>
    <row r="51" spans="1:4" x14ac:dyDescent="0.3">
      <c r="A51" s="3">
        <v>2015</v>
      </c>
      <c r="B51" s="3">
        <v>3</v>
      </c>
      <c r="C51" s="2">
        <v>350.73</v>
      </c>
    </row>
    <row r="52" spans="1:4" x14ac:dyDescent="0.3">
      <c r="A52" s="3">
        <v>2015</v>
      </c>
      <c r="B52" s="3">
        <v>4</v>
      </c>
      <c r="C52" s="2">
        <v>378.62</v>
      </c>
    </row>
    <row r="53" spans="1:4" x14ac:dyDescent="0.3">
      <c r="A53" s="3">
        <v>2016</v>
      </c>
      <c r="B53" s="3">
        <v>1</v>
      </c>
      <c r="C53" s="2">
        <v>426.7</v>
      </c>
      <c r="D53" s="5">
        <f>AVERAGE(C53:C56)</f>
        <v>477.28499999999997</v>
      </c>
    </row>
    <row r="54" spans="1:4" x14ac:dyDescent="0.3">
      <c r="A54" s="3">
        <v>2016</v>
      </c>
      <c r="B54" s="3">
        <v>2</v>
      </c>
      <c r="C54" s="2">
        <v>472.5</v>
      </c>
    </row>
    <row r="55" spans="1:4" x14ac:dyDescent="0.3">
      <c r="A55" s="3">
        <v>2016</v>
      </c>
      <c r="B55" s="3">
        <v>3</v>
      </c>
      <c r="C55" s="2">
        <v>492.57</v>
      </c>
    </row>
    <row r="56" spans="1:4" x14ac:dyDescent="0.3">
      <c r="A56" s="3">
        <v>2016</v>
      </c>
      <c r="B56" s="3">
        <v>4</v>
      </c>
      <c r="C56" s="2">
        <v>517.37</v>
      </c>
    </row>
    <row r="57" spans="1:4" x14ac:dyDescent="0.3">
      <c r="A57" s="3">
        <v>2017</v>
      </c>
      <c r="B57" s="3">
        <v>1</v>
      </c>
      <c r="C57" s="2">
        <v>540.20000000000005</v>
      </c>
      <c r="D57" s="5">
        <f>AVERAGE(C57:C60)</f>
        <v>592.15750000000003</v>
      </c>
    </row>
    <row r="58" spans="1:4" x14ac:dyDescent="0.3">
      <c r="A58" s="3">
        <v>2017</v>
      </c>
      <c r="B58" s="3">
        <v>2</v>
      </c>
      <c r="C58" s="2">
        <v>581.05999999999995</v>
      </c>
    </row>
    <row r="59" spans="1:4" x14ac:dyDescent="0.3">
      <c r="A59" s="3">
        <v>2017</v>
      </c>
      <c r="B59" s="3">
        <v>3</v>
      </c>
      <c r="C59" s="2">
        <v>609.92999999999995</v>
      </c>
    </row>
    <row r="60" spans="1:4" x14ac:dyDescent="0.3">
      <c r="A60" s="3">
        <v>2017</v>
      </c>
      <c r="B60" s="3">
        <v>4</v>
      </c>
      <c r="C60" s="2">
        <v>637.44000000000005</v>
      </c>
    </row>
    <row r="61" spans="1:4" x14ac:dyDescent="0.3">
      <c r="A61" s="3">
        <v>2018</v>
      </c>
      <c r="B61" s="3">
        <v>1</v>
      </c>
      <c r="C61" s="2">
        <v>691.88</v>
      </c>
      <c r="D61" s="5">
        <f>AVERAGE(C61:C64)</f>
        <v>811.32299999999998</v>
      </c>
    </row>
    <row r="62" spans="1:4" x14ac:dyDescent="0.3">
      <c r="A62" s="3">
        <v>2018</v>
      </c>
      <c r="B62" s="3">
        <v>2</v>
      </c>
      <c r="C62" s="2">
        <v>749.88199999999995</v>
      </c>
    </row>
    <row r="63" spans="1:4" x14ac:dyDescent="0.3">
      <c r="A63" s="3">
        <v>2018</v>
      </c>
      <c r="B63" s="3">
        <v>3</v>
      </c>
      <c r="C63" s="2">
        <v>836.84199999999998</v>
      </c>
    </row>
    <row r="64" spans="1:4" x14ac:dyDescent="0.3">
      <c r="A64" s="3">
        <v>2018</v>
      </c>
      <c r="B64" s="3">
        <v>4</v>
      </c>
      <c r="C64" s="2">
        <v>966.68799999999999</v>
      </c>
    </row>
    <row r="65" spans="1:4" x14ac:dyDescent="0.3">
      <c r="A65" s="3">
        <v>2019</v>
      </c>
      <c r="B65" s="3">
        <v>1</v>
      </c>
      <c r="C65" s="2">
        <v>1064.73</v>
      </c>
      <c r="D65" s="5">
        <f>AVERAGE(C65:C68)</f>
        <v>1257.57</v>
      </c>
    </row>
    <row r="66" spans="1:4" x14ac:dyDescent="0.3">
      <c r="A66" s="3">
        <v>2019</v>
      </c>
      <c r="B66" s="3">
        <v>2</v>
      </c>
      <c r="C66" s="2">
        <v>1177.8</v>
      </c>
    </row>
    <row r="67" spans="1:4" x14ac:dyDescent="0.3">
      <c r="A67" s="3">
        <v>2019</v>
      </c>
      <c r="B67" s="3">
        <v>3</v>
      </c>
      <c r="C67" s="2">
        <v>1304.72</v>
      </c>
    </row>
    <row r="68" spans="1:4" x14ac:dyDescent="0.3">
      <c r="A68" s="3">
        <v>2019</v>
      </c>
      <c r="B68" s="3">
        <v>4</v>
      </c>
      <c r="C68" s="2">
        <v>1483.03</v>
      </c>
    </row>
    <row r="69" spans="1:4" x14ac:dyDescent="0.3">
      <c r="A69" s="3">
        <v>2020</v>
      </c>
      <c r="B69" s="3">
        <v>1</v>
      </c>
      <c r="C69" s="2">
        <v>1616.37</v>
      </c>
      <c r="D69" s="5">
        <f>AVERAGE(C69:C72)</f>
        <v>1801.2225000000001</v>
      </c>
    </row>
    <row r="70" spans="1:4" x14ac:dyDescent="0.3">
      <c r="A70" s="3">
        <v>2020</v>
      </c>
      <c r="B70" s="3">
        <v>2</v>
      </c>
      <c r="C70" s="2">
        <v>1711.02</v>
      </c>
    </row>
    <row r="71" spans="1:4" x14ac:dyDescent="0.3">
      <c r="A71" s="3">
        <v>2020</v>
      </c>
      <c r="B71" s="3">
        <v>3</v>
      </c>
      <c r="C71" s="2">
        <v>1838.7</v>
      </c>
    </row>
    <row r="72" spans="1:4" x14ac:dyDescent="0.3">
      <c r="A72" s="3">
        <v>2020</v>
      </c>
      <c r="B72" s="3">
        <v>4</v>
      </c>
      <c r="C72" s="2">
        <v>2038.8</v>
      </c>
    </row>
    <row r="73" spans="1:4" x14ac:dyDescent="0.3">
      <c r="A73" s="3">
        <v>2021</v>
      </c>
      <c r="B73" s="3">
        <v>1</v>
      </c>
      <c r="C73" s="2">
        <v>2306.11</v>
      </c>
      <c r="D73" s="5">
        <f>AVERAGE(C73:C76)</f>
        <v>2703.9300000000003</v>
      </c>
    </row>
    <row r="74" spans="1:4" x14ac:dyDescent="0.3">
      <c r="A74" s="3">
        <v>2021</v>
      </c>
      <c r="B74" s="3">
        <v>2</v>
      </c>
      <c r="C74" s="2">
        <v>2593.61</v>
      </c>
    </row>
    <row r="75" spans="1:4" x14ac:dyDescent="0.3">
      <c r="A75" s="3">
        <v>2021</v>
      </c>
      <c r="B75" s="3">
        <v>3</v>
      </c>
      <c r="C75" s="2">
        <v>2830.56</v>
      </c>
    </row>
    <row r="76" spans="1:4" x14ac:dyDescent="0.3">
      <c r="A76" s="3">
        <v>2021</v>
      </c>
      <c r="B76" s="3">
        <v>4</v>
      </c>
      <c r="C76" s="2">
        <v>3085.44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4AAE-9E53-4813-B300-F22AD670542B}">
  <dimension ref="A1:G18"/>
  <sheetViews>
    <sheetView tabSelected="1" workbookViewId="0">
      <selection activeCell="C14" sqref="C14"/>
    </sheetView>
  </sheetViews>
  <sheetFormatPr baseColWidth="10" defaultRowHeight="14.4" x14ac:dyDescent="0.3"/>
  <cols>
    <col min="4" max="5" width="11.5546875" style="7"/>
  </cols>
  <sheetData>
    <row r="1" spans="1:7" x14ac:dyDescent="0.3">
      <c r="A1">
        <v>2004</v>
      </c>
      <c r="B1">
        <v>39.69</v>
      </c>
      <c r="C1" s="6">
        <v>147.28</v>
      </c>
      <c r="F1" s="7">
        <v>5.7200000000000001E-2</v>
      </c>
      <c r="G1" s="8">
        <f t="shared" ref="G1:G3" si="0">C1</f>
        <v>147.28</v>
      </c>
    </row>
    <row r="2" spans="1:7" x14ac:dyDescent="0.3">
      <c r="A2">
        <v>2005</v>
      </c>
      <c r="B2">
        <v>42.664999999999999</v>
      </c>
      <c r="C2" s="6">
        <v>167.48</v>
      </c>
      <c r="D2" s="7">
        <f>(B2-B1)/B1</f>
        <v>7.495590828924166E-2</v>
      </c>
      <c r="E2" s="7">
        <f>(C2-C1)/C1</f>
        <v>0.13715372080391083</v>
      </c>
      <c r="F2" s="7">
        <v>0.1011</v>
      </c>
      <c r="G2" s="8">
        <f t="shared" si="0"/>
        <v>167.48</v>
      </c>
    </row>
    <row r="3" spans="1:7" x14ac:dyDescent="0.3">
      <c r="A3">
        <v>2006</v>
      </c>
      <c r="B3">
        <v>47.187500000000007</v>
      </c>
      <c r="C3" s="6">
        <v>179.08</v>
      </c>
      <c r="D3" s="7">
        <f t="shared" ref="D3:D18" si="1">(B3-B2)/B2</f>
        <v>0.10600023438415582</v>
      </c>
      <c r="E3" s="7">
        <f t="shared" ref="E3:E10" si="2">(C3-C2)/C2</f>
        <v>6.9262001433007064E-2</v>
      </c>
      <c r="F3" s="7">
        <v>9.3100000000000002E-2</v>
      </c>
      <c r="G3" s="8">
        <f t="shared" si="0"/>
        <v>179.08</v>
      </c>
    </row>
    <row r="4" spans="1:7" x14ac:dyDescent="0.3">
      <c r="A4">
        <v>2007</v>
      </c>
      <c r="B4">
        <v>55.094999999999999</v>
      </c>
      <c r="C4" s="6">
        <v>194.89</v>
      </c>
      <c r="D4" s="7">
        <f t="shared" si="1"/>
        <v>0.16757615894039715</v>
      </c>
      <c r="E4" s="7">
        <f t="shared" si="2"/>
        <v>8.828456555729268E-2</v>
      </c>
      <c r="F4" s="7">
        <v>0.224</v>
      </c>
      <c r="G4" s="8">
        <f>C4</f>
        <v>194.89</v>
      </c>
    </row>
    <row r="5" spans="1:7" x14ac:dyDescent="0.3">
      <c r="A5">
        <v>2008</v>
      </c>
      <c r="B5">
        <v>68.252499999999998</v>
      </c>
      <c r="C5" s="6">
        <v>211.61661758333335</v>
      </c>
      <c r="D5" s="7">
        <f t="shared" si="1"/>
        <v>0.23881477448044286</v>
      </c>
      <c r="E5" s="7">
        <f t="shared" si="2"/>
        <v>8.5825940701592524E-2</v>
      </c>
      <c r="F5" s="7">
        <v>0.20699999999999999</v>
      </c>
      <c r="G5" s="8">
        <f>G4*(1+F4)</f>
        <v>238.54535999999999</v>
      </c>
    </row>
    <row r="6" spans="1:7" x14ac:dyDescent="0.3">
      <c r="A6">
        <v>2009</v>
      </c>
      <c r="B6">
        <v>78.389999999999986</v>
      </c>
      <c r="C6" s="6">
        <v>224.88780650000001</v>
      </c>
      <c r="D6" s="7">
        <f t="shared" si="1"/>
        <v>0.14852935789897789</v>
      </c>
      <c r="E6" s="7">
        <f t="shared" si="2"/>
        <v>6.2713359036846647E-2</v>
      </c>
      <c r="F6" s="7">
        <v>0.16200000000000001</v>
      </c>
      <c r="G6" s="8">
        <f t="shared" ref="G6:G18" si="3">G5*(1+F5)</f>
        <v>287.92424951999999</v>
      </c>
    </row>
    <row r="7" spans="1:7" x14ac:dyDescent="0.3">
      <c r="A7">
        <v>2010</v>
      </c>
      <c r="B7">
        <v>98.655000000000001</v>
      </c>
      <c r="C7" s="6">
        <v>248.41401550000003</v>
      </c>
      <c r="D7" s="7">
        <f t="shared" si="1"/>
        <v>0.25851511672407218</v>
      </c>
      <c r="E7" s="7">
        <f t="shared" si="2"/>
        <v>0.1046130929290736</v>
      </c>
      <c r="F7" s="7">
        <v>0.27900000000000003</v>
      </c>
      <c r="G7" s="8">
        <f t="shared" si="3"/>
        <v>334.56797794223996</v>
      </c>
    </row>
    <row r="8" spans="1:7" x14ac:dyDescent="0.3">
      <c r="A8">
        <v>2011</v>
      </c>
      <c r="B8">
        <v>122.185</v>
      </c>
      <c r="C8" s="6">
        <v>272.69744600000001</v>
      </c>
      <c r="D8" s="7">
        <f t="shared" si="1"/>
        <v>0.23850793168111095</v>
      </c>
      <c r="E8" s="7">
        <f t="shared" si="2"/>
        <v>9.7753866468134026E-2</v>
      </c>
      <c r="F8" s="7">
        <v>0.23300000000000001</v>
      </c>
      <c r="G8" s="8">
        <f t="shared" si="3"/>
        <v>427.9124437881249</v>
      </c>
    </row>
    <row r="9" spans="1:7" x14ac:dyDescent="0.3">
      <c r="A9">
        <v>2012</v>
      </c>
      <c r="B9">
        <v>151.07</v>
      </c>
      <c r="C9" s="6">
        <v>300.08478674999998</v>
      </c>
      <c r="D9" s="7">
        <f t="shared" si="1"/>
        <v>0.23640381388877513</v>
      </c>
      <c r="E9" s="7">
        <f t="shared" si="2"/>
        <v>0.10043123304499142</v>
      </c>
      <c r="F9" s="7">
        <v>0.23300000000000001</v>
      </c>
      <c r="G9" s="8">
        <f t="shared" si="3"/>
        <v>527.61604319075809</v>
      </c>
    </row>
    <row r="10" spans="1:7" x14ac:dyDescent="0.3">
      <c r="A10">
        <v>2013</v>
      </c>
      <c r="B10">
        <v>190.21</v>
      </c>
      <c r="C10" s="6">
        <v>331.95090075000002</v>
      </c>
      <c r="D10" s="7">
        <f t="shared" si="1"/>
        <v>0.25908519229496269</v>
      </c>
      <c r="E10" s="7">
        <f t="shared" si="2"/>
        <v>0.10619036821265995</v>
      </c>
      <c r="F10" s="7">
        <v>0.29799999999999999</v>
      </c>
      <c r="G10" s="8">
        <f t="shared" si="3"/>
        <v>650.55058125420476</v>
      </c>
    </row>
    <row r="11" spans="1:7" x14ac:dyDescent="0.3">
      <c r="A11">
        <v>2014</v>
      </c>
      <c r="B11">
        <v>271.39999999999998</v>
      </c>
      <c r="D11" s="7">
        <f t="shared" si="1"/>
        <v>0.42684401451027792</v>
      </c>
      <c r="F11" s="7">
        <v>0.41199999999999998</v>
      </c>
      <c r="G11" s="8">
        <f t="shared" si="3"/>
        <v>844.4146544679578</v>
      </c>
    </row>
    <row r="12" spans="1:7" x14ac:dyDescent="0.3">
      <c r="A12">
        <v>2015</v>
      </c>
      <c r="B12">
        <v>343.50750000000005</v>
      </c>
      <c r="D12" s="7">
        <f t="shared" si="1"/>
        <v>0.26568717759764215</v>
      </c>
      <c r="F12" s="7">
        <v>0.26900000000000002</v>
      </c>
      <c r="G12" s="8">
        <f t="shared" si="3"/>
        <v>1192.3134921087565</v>
      </c>
    </row>
    <row r="13" spans="1:7" x14ac:dyDescent="0.3">
      <c r="A13">
        <v>2016</v>
      </c>
      <c r="B13">
        <v>477.28499999999997</v>
      </c>
      <c r="D13" s="7">
        <f t="shared" si="1"/>
        <v>0.38944564529158721</v>
      </c>
      <c r="F13" s="7">
        <v>0.36599999999999999</v>
      </c>
      <c r="G13" s="8">
        <f t="shared" si="3"/>
        <v>1513.0458214860121</v>
      </c>
    </row>
    <row r="14" spans="1:7" x14ac:dyDescent="0.3">
      <c r="A14">
        <v>2017</v>
      </c>
      <c r="B14">
        <v>592.15750000000003</v>
      </c>
      <c r="D14" s="7">
        <f t="shared" si="1"/>
        <v>0.24067904920540154</v>
      </c>
      <c r="F14" s="7">
        <v>0.23200000000000001</v>
      </c>
      <c r="G14" s="8">
        <f t="shared" si="3"/>
        <v>2066.8205921498925</v>
      </c>
    </row>
    <row r="15" spans="1:7" x14ac:dyDescent="0.3">
      <c r="A15">
        <v>2018</v>
      </c>
      <c r="B15">
        <v>811.32299999999998</v>
      </c>
      <c r="D15" s="7">
        <f t="shared" si="1"/>
        <v>0.37011352554008004</v>
      </c>
      <c r="F15" s="7">
        <v>0.51600000000000001</v>
      </c>
      <c r="G15" s="8">
        <f t="shared" si="3"/>
        <v>2546.3229695286677</v>
      </c>
    </row>
    <row r="16" spans="1:7" x14ac:dyDescent="0.3">
      <c r="A16">
        <v>2019</v>
      </c>
      <c r="B16">
        <v>1257.57</v>
      </c>
      <c r="D16" s="7">
        <f t="shared" si="1"/>
        <v>0.55002384993399667</v>
      </c>
      <c r="F16" s="7">
        <v>0.53400000000000003</v>
      </c>
      <c r="G16" s="8">
        <f t="shared" si="3"/>
        <v>3860.2256218054604</v>
      </c>
    </row>
    <row r="17" spans="1:7" x14ac:dyDescent="0.3">
      <c r="A17">
        <v>2020</v>
      </c>
      <c r="B17">
        <v>1801.2225000000001</v>
      </c>
      <c r="D17" s="7">
        <f t="shared" si="1"/>
        <v>0.43230396717478964</v>
      </c>
      <c r="F17" s="7">
        <v>0.374</v>
      </c>
      <c r="G17" s="8">
        <f t="shared" si="3"/>
        <v>5921.5861038495759</v>
      </c>
    </row>
    <row r="18" spans="1:7" x14ac:dyDescent="0.3">
      <c r="A18">
        <v>2021</v>
      </c>
      <c r="B18">
        <v>2703.9300000000003</v>
      </c>
      <c r="D18" s="7">
        <f t="shared" si="1"/>
        <v>0.50116379292397262</v>
      </c>
      <c r="F18" s="7">
        <v>0.51300000000000001</v>
      </c>
      <c r="G18" s="8">
        <f t="shared" si="3"/>
        <v>8136.2593066893178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Mahnic</dc:creator>
  <cp:lastModifiedBy>Agustina Juarez</cp:lastModifiedBy>
  <dcterms:created xsi:type="dcterms:W3CDTF">2022-06-28T16:34:31Z</dcterms:created>
  <dcterms:modified xsi:type="dcterms:W3CDTF">2026-08-13T12:02:18Z</dcterms:modified>
</cp:coreProperties>
</file>