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71a82d91f2470ed/Escritorio/ECONOMIA/3 AÑO/Lab Ciencia de Datos/Proyecto historia economica/Proyecto-evolucion-salarios/"/>
    </mc:Choice>
  </mc:AlternateContent>
  <xr:revisionPtr revIDLastSave="6" documentId="8_{76FF0AFA-3EA6-409B-B46A-C3DB4895F9E4}" xr6:coauthVersionLast="47" xr6:coauthVersionMax="47" xr10:uidLastSave="{A1203B5C-CC37-4CFC-9718-8F611D58AAF9}"/>
  <bookViews>
    <workbookView xWindow="-108" yWindow="-108" windowWidth="23256" windowHeight="12456" xr2:uid="{00000000-000D-0000-FFFF-FFFF00000000}"/>
  </bookViews>
  <sheets>
    <sheet name="Salario ind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0" i="2" l="1"/>
  <c r="D61" i="2"/>
  <c r="O102" i="2"/>
  <c r="L102" i="2"/>
  <c r="I102" i="2"/>
  <c r="G102" i="2"/>
  <c r="F102" i="2"/>
  <c r="E102" i="2"/>
  <c r="D102" i="2"/>
  <c r="C102" i="2"/>
  <c r="O101" i="2"/>
  <c r="L101" i="2"/>
  <c r="I101" i="2"/>
  <c r="G101" i="2"/>
  <c r="F101" i="2"/>
  <c r="E101" i="2"/>
  <c r="D101" i="2"/>
  <c r="C101" i="2"/>
  <c r="O100" i="2"/>
  <c r="L100" i="2"/>
  <c r="I100" i="2"/>
  <c r="G100" i="2"/>
  <c r="F100" i="2"/>
  <c r="E100" i="2"/>
  <c r="D100" i="2"/>
  <c r="C100" i="2"/>
  <c r="O99" i="2"/>
  <c r="L99" i="2"/>
  <c r="I99" i="2"/>
  <c r="G99" i="2"/>
  <c r="F99" i="2"/>
  <c r="E99" i="2"/>
  <c r="D99" i="2"/>
  <c r="C99" i="2"/>
  <c r="O98" i="2"/>
  <c r="L98" i="2"/>
  <c r="I98" i="2"/>
  <c r="G98" i="2"/>
  <c r="F98" i="2"/>
  <c r="E98" i="2"/>
  <c r="D98" i="2"/>
  <c r="C98" i="2"/>
  <c r="O97" i="2"/>
  <c r="L97" i="2"/>
  <c r="I97" i="2"/>
  <c r="G97" i="2"/>
  <c r="F97" i="2"/>
  <c r="E97" i="2"/>
  <c r="D97" i="2"/>
  <c r="C97" i="2"/>
  <c r="O96" i="2"/>
  <c r="L96" i="2"/>
  <c r="I96" i="2"/>
  <c r="G96" i="2"/>
  <c r="F96" i="2"/>
  <c r="E96" i="2"/>
  <c r="D96" i="2"/>
  <c r="C96" i="2"/>
  <c r="O95" i="2"/>
  <c r="L95" i="2"/>
  <c r="I95" i="2"/>
  <c r="G95" i="2"/>
  <c r="F95" i="2"/>
  <c r="E95" i="2"/>
  <c r="D95" i="2"/>
  <c r="C95" i="2"/>
  <c r="O94" i="2"/>
  <c r="L94" i="2"/>
  <c r="I94" i="2"/>
  <c r="G94" i="2"/>
  <c r="F94" i="2"/>
  <c r="E94" i="2"/>
  <c r="D94" i="2"/>
  <c r="C94" i="2"/>
  <c r="O93" i="2"/>
  <c r="L93" i="2"/>
  <c r="I93" i="2"/>
  <c r="G93" i="2"/>
  <c r="F93" i="2"/>
  <c r="E93" i="2"/>
  <c r="D93" i="2"/>
  <c r="C93" i="2"/>
  <c r="O92" i="2"/>
  <c r="L92" i="2"/>
  <c r="I92" i="2"/>
  <c r="G92" i="2"/>
  <c r="F92" i="2"/>
  <c r="E92" i="2"/>
  <c r="D92" i="2"/>
  <c r="C92" i="2"/>
  <c r="O91" i="2"/>
  <c r="L91" i="2"/>
  <c r="I91" i="2"/>
  <c r="G91" i="2"/>
  <c r="F91" i="2"/>
  <c r="E91" i="2"/>
  <c r="D91" i="2"/>
  <c r="C91" i="2"/>
  <c r="O90" i="2"/>
  <c r="L90" i="2"/>
  <c r="I90" i="2"/>
  <c r="G90" i="2"/>
  <c r="F90" i="2"/>
  <c r="E90" i="2"/>
  <c r="D90" i="2"/>
  <c r="C90" i="2"/>
  <c r="O89" i="2"/>
  <c r="L89" i="2"/>
  <c r="I89" i="2"/>
  <c r="G89" i="2"/>
  <c r="F89" i="2"/>
  <c r="E89" i="2"/>
  <c r="D89" i="2"/>
  <c r="C89" i="2"/>
  <c r="O88" i="2"/>
  <c r="L88" i="2"/>
  <c r="I88" i="2"/>
  <c r="G88" i="2"/>
  <c r="F88" i="2"/>
  <c r="E88" i="2"/>
  <c r="D88" i="2"/>
  <c r="C88" i="2"/>
  <c r="O87" i="2"/>
  <c r="L87" i="2"/>
  <c r="I87" i="2"/>
  <c r="G87" i="2"/>
  <c r="F87" i="2"/>
  <c r="E87" i="2"/>
  <c r="D87" i="2"/>
  <c r="C87" i="2"/>
  <c r="O86" i="2"/>
  <c r="L86" i="2"/>
  <c r="I86" i="2"/>
  <c r="G86" i="2"/>
  <c r="F86" i="2"/>
  <c r="E86" i="2"/>
  <c r="D86" i="2"/>
  <c r="C86" i="2"/>
  <c r="B86" i="2"/>
  <c r="O85" i="2"/>
  <c r="L85" i="2"/>
  <c r="I85" i="2"/>
  <c r="G85" i="2"/>
  <c r="F85" i="2"/>
  <c r="E85" i="2"/>
  <c r="D85" i="2"/>
  <c r="C85" i="2"/>
  <c r="B85" i="2"/>
  <c r="O84" i="2"/>
  <c r="L84" i="2"/>
  <c r="I84" i="2"/>
  <c r="G84" i="2"/>
  <c r="F84" i="2"/>
  <c r="E84" i="2"/>
  <c r="D84" i="2"/>
  <c r="C84" i="2"/>
  <c r="B84" i="2"/>
  <c r="O83" i="2"/>
  <c r="L83" i="2"/>
  <c r="I83" i="2"/>
  <c r="G83" i="2"/>
  <c r="F83" i="2"/>
  <c r="E83" i="2"/>
  <c r="D83" i="2"/>
  <c r="C83" i="2"/>
  <c r="B83" i="2"/>
  <c r="O82" i="2"/>
  <c r="L82" i="2"/>
  <c r="I82" i="2"/>
  <c r="G82" i="2"/>
  <c r="F82" i="2"/>
  <c r="E82" i="2"/>
  <c r="D82" i="2"/>
  <c r="C82" i="2"/>
  <c r="B82" i="2"/>
  <c r="O81" i="2"/>
  <c r="L81" i="2"/>
  <c r="I81" i="2"/>
  <c r="G81" i="2"/>
  <c r="F81" i="2"/>
  <c r="E81" i="2"/>
  <c r="D81" i="2"/>
  <c r="C81" i="2"/>
  <c r="B81" i="2"/>
  <c r="O80" i="2"/>
  <c r="L80" i="2"/>
  <c r="I80" i="2"/>
  <c r="G80" i="2"/>
  <c r="F80" i="2"/>
  <c r="E80" i="2"/>
  <c r="D80" i="2"/>
  <c r="C80" i="2"/>
  <c r="B80" i="2"/>
  <c r="O79" i="2"/>
  <c r="L79" i="2"/>
  <c r="I79" i="2"/>
  <c r="F79" i="2"/>
  <c r="C79" i="2"/>
  <c r="B79" i="2"/>
  <c r="O78" i="2"/>
  <c r="L78" i="2"/>
  <c r="I78" i="2"/>
  <c r="F78" i="2"/>
  <c r="C78" i="2"/>
  <c r="B78" i="2"/>
  <c r="O77" i="2"/>
  <c r="L77" i="2"/>
  <c r="I77" i="2"/>
  <c r="F77" i="2"/>
  <c r="C77" i="2"/>
  <c r="B77" i="2"/>
  <c r="O76" i="2"/>
  <c r="L76" i="2"/>
  <c r="I76" i="2"/>
  <c r="F76" i="2"/>
  <c r="C76" i="2"/>
  <c r="B76" i="2"/>
  <c r="O75" i="2"/>
  <c r="L75" i="2"/>
  <c r="I75" i="2"/>
  <c r="F75" i="2"/>
  <c r="C75" i="2"/>
  <c r="B75" i="2"/>
  <c r="O74" i="2"/>
  <c r="L74" i="2"/>
  <c r="I74" i="2"/>
  <c r="F74" i="2"/>
  <c r="C74" i="2"/>
  <c r="B74" i="2"/>
  <c r="O73" i="2"/>
  <c r="L73" i="2"/>
  <c r="I73" i="2"/>
  <c r="F73" i="2"/>
  <c r="C73" i="2"/>
  <c r="B73" i="2"/>
  <c r="O72" i="2"/>
  <c r="L72" i="2"/>
  <c r="I72" i="2"/>
  <c r="F72" i="2"/>
  <c r="C72" i="2"/>
  <c r="B72" i="2"/>
  <c r="O71" i="2"/>
  <c r="L71" i="2"/>
  <c r="I71" i="2"/>
  <c r="F71" i="2"/>
  <c r="C71" i="2"/>
  <c r="B71" i="2"/>
  <c r="O70" i="2"/>
  <c r="L70" i="2"/>
  <c r="I70" i="2"/>
  <c r="F70" i="2"/>
  <c r="C70" i="2"/>
  <c r="B70" i="2"/>
  <c r="O69" i="2"/>
  <c r="L69" i="2"/>
  <c r="I69" i="2"/>
  <c r="F69" i="2"/>
  <c r="C69" i="2"/>
  <c r="B69" i="2"/>
  <c r="O68" i="2"/>
  <c r="L68" i="2"/>
  <c r="I68" i="2"/>
  <c r="F68" i="2"/>
  <c r="C68" i="2"/>
  <c r="B68" i="2"/>
  <c r="L67" i="2"/>
  <c r="I67" i="2"/>
  <c r="D67" i="2"/>
  <c r="C67" i="2"/>
  <c r="L66" i="2"/>
  <c r="I66" i="2"/>
  <c r="F66" i="2"/>
  <c r="E66" i="2"/>
  <c r="D66" i="2"/>
  <c r="C66" i="2"/>
  <c r="B66" i="2"/>
  <c r="L65" i="2"/>
  <c r="I65" i="2"/>
  <c r="F65" i="2"/>
  <c r="E65" i="2"/>
  <c r="D65" i="2"/>
  <c r="B65" i="2"/>
  <c r="I64" i="2"/>
  <c r="F64" i="2"/>
  <c r="E64" i="2"/>
  <c r="D64" i="2"/>
  <c r="C64" i="2"/>
  <c r="B64" i="2"/>
  <c r="L63" i="2"/>
  <c r="I63" i="2"/>
  <c r="G63" i="2"/>
  <c r="D63" i="2"/>
  <c r="C63" i="2"/>
  <c r="B63" i="2"/>
  <c r="O62" i="2"/>
  <c r="L62" i="2"/>
  <c r="I62" i="2"/>
  <c r="G62" i="2"/>
  <c r="F62" i="2"/>
  <c r="D62" i="2"/>
  <c r="C62" i="2"/>
  <c r="B62" i="2"/>
  <c r="O61" i="2"/>
  <c r="L61" i="2"/>
  <c r="I61" i="2"/>
  <c r="G61" i="2"/>
  <c r="F61" i="2"/>
  <c r="C61" i="2"/>
  <c r="B61" i="2"/>
  <c r="O60" i="2"/>
  <c r="L60" i="2"/>
  <c r="I60" i="2"/>
  <c r="E60" i="2"/>
  <c r="C60" i="2"/>
  <c r="B60" i="2"/>
  <c r="C13" i="2"/>
  <c r="C65" i="2" s="1"/>
  <c r="L12" i="2"/>
  <c r="L6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</author>
  </authors>
  <commentList>
    <comment ref="C13" authorId="0" shapeId="0" xr:uid="{EA8517D0-8217-424C-9C1C-EFD35E1EC3AA}">
      <text>
        <r>
          <rPr>
            <b/>
            <sz val="9"/>
            <color indexed="81"/>
            <rFont val="Tahoma"/>
            <family val="2"/>
          </rPr>
          <t>Dato faltante, se calculó como promedio de los valores de 1928-1931 y 1933</t>
        </r>
      </text>
    </comment>
  </commentList>
</comments>
</file>

<file path=xl/sharedStrings.xml><?xml version="1.0" encoding="utf-8"?>
<sst xmlns="http://schemas.openxmlformats.org/spreadsheetml/2006/main" count="31" uniqueCount="17">
  <si>
    <t>Salarios reales mensuales en la industria</t>
  </si>
  <si>
    <t>Salario agricultura</t>
  </si>
  <si>
    <t>Año</t>
  </si>
  <si>
    <t>Peón albañil</t>
  </si>
  <si>
    <t xml:space="preserve">Albañil </t>
  </si>
  <si>
    <t>Carpintero</t>
  </si>
  <si>
    <t>Mecánico</t>
  </si>
  <si>
    <t>Peón de bodega/Obrero vinìcola</t>
  </si>
  <si>
    <t>Tonelero</t>
  </si>
  <si>
    <t>ICV Cap. Fed 1960=100</t>
  </si>
  <si>
    <t>Salario ind. Cap Fed</t>
  </si>
  <si>
    <t>Peón de viña</t>
  </si>
  <si>
    <t>($ley 18188 de 1960)</t>
  </si>
  <si>
    <t>($ de 2004)</t>
  </si>
  <si>
    <t>1928-1931</t>
  </si>
  <si>
    <t>ver cálculo</t>
  </si>
  <si>
    <t>Índices 1970=100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</si>
</sst>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C6A6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4" fillId="10" borderId="0" xfId="0" applyFont="1" applyFill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1" fontId="0" fillId="0" borderId="0" xfId="0" applyNumberFormat="1"/>
    <xf numFmtId="0" fontId="7" fillId="6" borderId="0" xfId="0" applyFont="1" applyFill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3" fillId="5" borderId="0" xfId="0" applyFont="1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'[1]Salario ind'!$F$57</c:f>
              <c:strCache>
                <c:ptCount val="1"/>
                <c:pt idx="0">
                  <c:v>Peón de bodega/Obrero vinìcola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'[1]Salario ind'!$A$60:$A$102</c:f>
              <c:strCache>
                <c:ptCount val="43"/>
                <c:pt idx="0">
                  <c:v>1914</c:v>
                </c:pt>
                <c:pt idx="1">
                  <c:v>1915</c:v>
                </c:pt>
                <c:pt idx="2">
                  <c:v>1916</c:v>
                </c:pt>
                <c:pt idx="3">
                  <c:v>1923</c:v>
                </c:pt>
                <c:pt idx="4">
                  <c:v>1928-1931</c:v>
                </c:pt>
                <c:pt idx="5">
                  <c:v>1932</c:v>
                </c:pt>
                <c:pt idx="6">
                  <c:v>1933</c:v>
                </c:pt>
                <c:pt idx="7">
                  <c:v>1945</c:v>
                </c:pt>
                <c:pt idx="8">
                  <c:v>1952</c:v>
                </c:pt>
                <c:pt idx="9">
                  <c:v>1953</c:v>
                </c:pt>
                <c:pt idx="10">
                  <c:v>1954</c:v>
                </c:pt>
                <c:pt idx="11">
                  <c:v>1955</c:v>
                </c:pt>
                <c:pt idx="12">
                  <c:v>1956</c:v>
                </c:pt>
                <c:pt idx="13">
                  <c:v>1957</c:v>
                </c:pt>
                <c:pt idx="14">
                  <c:v>1958</c:v>
                </c:pt>
                <c:pt idx="15">
                  <c:v>1959</c:v>
                </c:pt>
                <c:pt idx="16">
                  <c:v>1960</c:v>
                </c:pt>
                <c:pt idx="17">
                  <c:v>1961</c:v>
                </c:pt>
                <c:pt idx="18">
                  <c:v>1962</c:v>
                </c:pt>
                <c:pt idx="19">
                  <c:v>1963</c:v>
                </c:pt>
                <c:pt idx="20">
                  <c:v>1964</c:v>
                </c:pt>
                <c:pt idx="21">
                  <c:v>1965</c:v>
                </c:pt>
                <c:pt idx="22">
                  <c:v>1966</c:v>
                </c:pt>
                <c:pt idx="23">
                  <c:v>1967</c:v>
                </c:pt>
                <c:pt idx="24">
                  <c:v>1968</c:v>
                </c:pt>
                <c:pt idx="25">
                  <c:v>1969</c:v>
                </c:pt>
                <c:pt idx="26">
                  <c:v>1970</c:v>
                </c:pt>
                <c:pt idx="27">
                  <c:v>1971</c:v>
                </c:pt>
                <c:pt idx="28">
                  <c:v>1972</c:v>
                </c:pt>
                <c:pt idx="29">
                  <c:v>1973</c:v>
                </c:pt>
                <c:pt idx="30">
                  <c:v>1974</c:v>
                </c:pt>
                <c:pt idx="31">
                  <c:v>1975</c:v>
                </c:pt>
                <c:pt idx="32">
                  <c:v>1976</c:v>
                </c:pt>
                <c:pt idx="33">
                  <c:v>1977</c:v>
                </c:pt>
                <c:pt idx="34">
                  <c:v>1978</c:v>
                </c:pt>
                <c:pt idx="35">
                  <c:v>1979</c:v>
                </c:pt>
                <c:pt idx="36">
                  <c:v>1980</c:v>
                </c:pt>
                <c:pt idx="37">
                  <c:v>1981</c:v>
                </c:pt>
                <c:pt idx="38">
                  <c:v>1982</c:v>
                </c:pt>
                <c:pt idx="39">
                  <c:v>1983</c:v>
                </c:pt>
                <c:pt idx="40">
                  <c:v>1984</c:v>
                </c:pt>
                <c:pt idx="41">
                  <c:v>1985</c:v>
                </c:pt>
                <c:pt idx="42">
                  <c:v>1986</c:v>
                </c:pt>
              </c:strCache>
            </c:strRef>
          </c:cat>
          <c:val>
            <c:numRef>
              <c:f>'[1]Salario ind'!$F$60:$F$102</c:f>
              <c:numCache>
                <c:formatCode>General</c:formatCode>
                <c:ptCount val="43"/>
                <c:pt idx="1">
                  <c:v>50.164085552768597</c:v>
                </c:pt>
                <c:pt idx="2">
                  <c:v>46.725665979996201</c:v>
                </c:pt>
                <c:pt idx="4">
                  <c:v>95.614236164446766</c:v>
                </c:pt>
                <c:pt idx="5">
                  <c:v>118.5827733378666</c:v>
                </c:pt>
                <c:pt idx="6">
                  <c:v>99.876111032241909</c:v>
                </c:pt>
                <c:pt idx="8">
                  <c:v>172.0275088899875</c:v>
                </c:pt>
                <c:pt idx="9">
                  <c:v>135.044330220624</c:v>
                </c:pt>
                <c:pt idx="10">
                  <c:v>154.93511737808311</c:v>
                </c:pt>
                <c:pt idx="11">
                  <c:v>137.94799102852571</c:v>
                </c:pt>
                <c:pt idx="12">
                  <c:v>166.58774075109571</c:v>
                </c:pt>
                <c:pt idx="13">
                  <c:v>133.56772383993899</c:v>
                </c:pt>
                <c:pt idx="14">
                  <c:v>216.66901628623319</c:v>
                </c:pt>
                <c:pt idx="15">
                  <c:v>129.12152266195551</c:v>
                </c:pt>
                <c:pt idx="16">
                  <c:v>119.72268633812379</c:v>
                </c:pt>
                <c:pt idx="17">
                  <c:v>126.35527925872709</c:v>
                </c:pt>
                <c:pt idx="18">
                  <c:v>126.97425746341879</c:v>
                </c:pt>
                <c:pt idx="19">
                  <c:v>124.5431143128117</c:v>
                </c:pt>
                <c:pt idx="20">
                  <c:v>116.2238034438346</c:v>
                </c:pt>
                <c:pt idx="21">
                  <c:v>128.30088994325871</c:v>
                </c:pt>
                <c:pt idx="22">
                  <c:v>126.6636922578258</c:v>
                </c:pt>
                <c:pt idx="23">
                  <c:v>121.57787774420549</c:v>
                </c:pt>
                <c:pt idx="24">
                  <c:v>104.60646381974971</c:v>
                </c:pt>
                <c:pt idx="25">
                  <c:v>108.8215504352934</c:v>
                </c:pt>
                <c:pt idx="26">
                  <c:v>100</c:v>
                </c:pt>
                <c:pt idx="27">
                  <c:v>112.3125873128313</c:v>
                </c:pt>
                <c:pt idx="28">
                  <c:v>98.950596867456468</c:v>
                </c:pt>
                <c:pt idx="29">
                  <c:v>80.994222017966493</c:v>
                </c:pt>
                <c:pt idx="30">
                  <c:v>80.480559781276099</c:v>
                </c:pt>
                <c:pt idx="31">
                  <c:v>103.6625329377386</c:v>
                </c:pt>
                <c:pt idx="32">
                  <c:v>78.349359231802566</c:v>
                </c:pt>
                <c:pt idx="33">
                  <c:v>54.160681537454622</c:v>
                </c:pt>
                <c:pt idx="34">
                  <c:v>38.558925384595831</c:v>
                </c:pt>
                <c:pt idx="35">
                  <c:v>35.842889471879992</c:v>
                </c:pt>
                <c:pt idx="36">
                  <c:v>42.703426028724749</c:v>
                </c:pt>
                <c:pt idx="37">
                  <c:v>42.266883462315143</c:v>
                </c:pt>
                <c:pt idx="38">
                  <c:v>44.652404041895863</c:v>
                </c:pt>
                <c:pt idx="39">
                  <c:v>71.877633736176108</c:v>
                </c:pt>
                <c:pt idx="40">
                  <c:v>85.521294415750646</c:v>
                </c:pt>
                <c:pt idx="41">
                  <c:v>73.968960595763264</c:v>
                </c:pt>
                <c:pt idx="42">
                  <c:v>74.310411844809707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4-4C32-9DB9-04B22EC5A287}"/>
            </c:ext>
          </c:extLst>
        </c:ser>
        <c:ser>
          <c:idx val="2"/>
          <c:order val="1"/>
          <c:tx>
            <c:strRef>
              <c:f>'[1]Salario ind'!$L$57</c:f>
              <c:strCache>
                <c:ptCount val="1"/>
                <c:pt idx="0">
                  <c:v>Salario ind. Cap Fed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val>
            <c:numRef>
              <c:f>'[1]Salario ind'!$L$60:$L$102</c:f>
              <c:numCache>
                <c:formatCode>General</c:formatCode>
                <c:ptCount val="43"/>
                <c:pt idx="0">
                  <c:v>41.228710418486607</c:v>
                </c:pt>
                <c:pt idx="1">
                  <c:v>37.012477429872632</c:v>
                </c:pt>
                <c:pt idx="2">
                  <c:v>34.552297355635631</c:v>
                </c:pt>
                <c:pt idx="3">
                  <c:v>52.197681367940149</c:v>
                </c:pt>
                <c:pt idx="4">
                  <c:v>59.191083025644382</c:v>
                </c:pt>
                <c:pt idx="5">
                  <c:v>63.135776772312013</c:v>
                </c:pt>
                <c:pt idx="6">
                  <c:v>58.354991089517959</c:v>
                </c:pt>
                <c:pt idx="7">
                  <c:v>66.191545697135723</c:v>
                </c:pt>
                <c:pt idx="8">
                  <c:v>79.021266420259394</c:v>
                </c:pt>
                <c:pt idx="9">
                  <c:v>82.653907435586817</c:v>
                </c:pt>
                <c:pt idx="10">
                  <c:v>91.163647101636769</c:v>
                </c:pt>
                <c:pt idx="11">
                  <c:v>88.478892342411669</c:v>
                </c:pt>
                <c:pt idx="12">
                  <c:v>95.859985504020386</c:v>
                </c:pt>
                <c:pt idx="13">
                  <c:v>93.077538933842021</c:v>
                </c:pt>
                <c:pt idx="14">
                  <c:v>99.582381992344679</c:v>
                </c:pt>
                <c:pt idx="15">
                  <c:v>74.113541616869298</c:v>
                </c:pt>
                <c:pt idx="16">
                  <c:v>75.709686441708996</c:v>
                </c:pt>
                <c:pt idx="17">
                  <c:v>84.248395980547926</c:v>
                </c:pt>
                <c:pt idx="18">
                  <c:v>82.348457323485093</c:v>
                </c:pt>
                <c:pt idx="19">
                  <c:v>84.195992473634433</c:v>
                </c:pt>
                <c:pt idx="20">
                  <c:v>93.157916312910999</c:v>
                </c:pt>
                <c:pt idx="21">
                  <c:v>100.77150889467021</c:v>
                </c:pt>
                <c:pt idx="22">
                  <c:v>101.87781086586141</c:v>
                </c:pt>
                <c:pt idx="23">
                  <c:v>101.82954555657039</c:v>
                </c:pt>
                <c:pt idx="24">
                  <c:v>94.256341017170811</c:v>
                </c:pt>
                <c:pt idx="25">
                  <c:v>96.698638260536953</c:v>
                </c:pt>
                <c:pt idx="26">
                  <c:v>100</c:v>
                </c:pt>
                <c:pt idx="27">
                  <c:v>104.10665427134821</c:v>
                </c:pt>
                <c:pt idx="28">
                  <c:v>96.758235675604695</c:v>
                </c:pt>
                <c:pt idx="29">
                  <c:v>104.2850347127963</c:v>
                </c:pt>
                <c:pt idx="30">
                  <c:v>115.396618851266</c:v>
                </c:pt>
                <c:pt idx="31">
                  <c:v>110.88845269423889</c:v>
                </c:pt>
                <c:pt idx="32">
                  <c:v>72.635546160434856</c:v>
                </c:pt>
                <c:pt idx="33">
                  <c:v>69.299889001148571</c:v>
                </c:pt>
                <c:pt idx="34">
                  <c:v>67.890715560612236</c:v>
                </c:pt>
                <c:pt idx="35">
                  <c:v>79.144999793077787</c:v>
                </c:pt>
                <c:pt idx="36">
                  <c:v>87.717378057980554</c:v>
                </c:pt>
                <c:pt idx="37">
                  <c:v>78.684710984056665</c:v>
                </c:pt>
                <c:pt idx="38">
                  <c:v>70.411994202803626</c:v>
                </c:pt>
                <c:pt idx="39">
                  <c:v>91.101794432116208</c:v>
                </c:pt>
                <c:pt idx="40">
                  <c:v>110.7910394999646</c:v>
                </c:pt>
                <c:pt idx="41">
                  <c:v>90.228908042338958</c:v>
                </c:pt>
                <c:pt idx="42">
                  <c:v>94.570034396314412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F4-4C32-9DB9-04B22EC5A287}"/>
            </c:ext>
          </c:extLst>
        </c:ser>
        <c:ser>
          <c:idx val="3"/>
          <c:order val="2"/>
          <c:tx>
            <c:strRef>
              <c:f>'[1]Salario ind'!$O$57</c:f>
              <c:strCache>
                <c:ptCount val="1"/>
                <c:pt idx="0">
                  <c:v>Peón de viña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'[1]Salario ind'!$O$60:$O$102</c:f>
              <c:numCache>
                <c:formatCode>General</c:formatCode>
                <c:ptCount val="43"/>
                <c:pt idx="0">
                  <c:v>63.394577414353527</c:v>
                </c:pt>
                <c:pt idx="1">
                  <c:v>41.612858875982688</c:v>
                </c:pt>
                <c:pt idx="2">
                  <c:v>38.760569895499167</c:v>
                </c:pt>
                <c:pt idx="8">
                  <c:v>114.048207459626</c:v>
                </c:pt>
                <c:pt idx="9">
                  <c:v>89.529656556832094</c:v>
                </c:pt>
                <c:pt idx="10">
                  <c:v>109.6192555829073</c:v>
                </c:pt>
                <c:pt idx="11">
                  <c:v>97.600572043350468</c:v>
                </c:pt>
                <c:pt idx="12">
                  <c:v>117.9449985095994</c:v>
                </c:pt>
                <c:pt idx="13">
                  <c:v>94.566652493176207</c:v>
                </c:pt>
                <c:pt idx="14">
                  <c:v>170.0114609938704</c:v>
                </c:pt>
                <c:pt idx="15">
                  <c:v>115.0239324678755</c:v>
                </c:pt>
                <c:pt idx="16">
                  <c:v>99.298342917032514</c:v>
                </c:pt>
                <c:pt idx="17">
                  <c:v>87.472038127557582</c:v>
                </c:pt>
                <c:pt idx="18">
                  <c:v>86.959402188209339</c:v>
                </c:pt>
                <c:pt idx="19">
                  <c:v>77.112226384863661</c:v>
                </c:pt>
                <c:pt idx="20">
                  <c:v>86.081874353022826</c:v>
                </c:pt>
                <c:pt idx="21">
                  <c:v>107.0994352909414</c:v>
                </c:pt>
                <c:pt idx="22">
                  <c:v>115.05463258543681</c:v>
                </c:pt>
                <c:pt idx="23">
                  <c:v>111.19045063732339</c:v>
                </c:pt>
                <c:pt idx="24">
                  <c:v>95.669048247136374</c:v>
                </c:pt>
                <c:pt idx="25">
                  <c:v>112.46780222655281</c:v>
                </c:pt>
                <c:pt idx="26">
                  <c:v>100</c:v>
                </c:pt>
                <c:pt idx="27">
                  <c:v>135.51594044646751</c:v>
                </c:pt>
                <c:pt idx="28">
                  <c:v>124.4741514966757</c:v>
                </c:pt>
                <c:pt idx="29">
                  <c:v>162.03140680423411</c:v>
                </c:pt>
                <c:pt idx="30">
                  <c:v>153.00037034336961</c:v>
                </c:pt>
                <c:pt idx="31">
                  <c:v>77.375450935904709</c:v>
                </c:pt>
                <c:pt idx="32">
                  <c:v>65.128176341055791</c:v>
                </c:pt>
                <c:pt idx="33">
                  <c:v>47.794116428361832</c:v>
                </c:pt>
                <c:pt idx="34">
                  <c:v>37.956744393765611</c:v>
                </c:pt>
                <c:pt idx="35">
                  <c:v>26.843779780745741</c:v>
                </c:pt>
                <c:pt idx="36">
                  <c:v>42.240322563887432</c:v>
                </c:pt>
                <c:pt idx="37">
                  <c:v>43.459758119237918</c:v>
                </c:pt>
                <c:pt idx="38">
                  <c:v>54.189622213298371</c:v>
                </c:pt>
                <c:pt idx="39">
                  <c:v>74.597900617357396</c:v>
                </c:pt>
                <c:pt idx="40">
                  <c:v>84.759765965968853</c:v>
                </c:pt>
                <c:pt idx="41">
                  <c:v>72.312233448316107</c:v>
                </c:pt>
                <c:pt idx="42">
                  <c:v>62.892600717498233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F4-4C32-9DB9-04B22EC5A287}"/>
            </c:ext>
          </c:extLst>
        </c:ser>
        <c:ser>
          <c:idx val="4"/>
          <c:order val="3"/>
          <c:tx>
            <c:strRef>
              <c:f>'[1]Salario ind'!$C$57</c:f>
              <c:strCache>
                <c:ptCount val="1"/>
                <c:pt idx="0">
                  <c:v>Albañil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'[1]Salario ind'!$C$60:$C$102</c:f>
              <c:numCache>
                <c:formatCode>General</c:formatCode>
                <c:ptCount val="43"/>
                <c:pt idx="0">
                  <c:v>68.614376191005064</c:v>
                </c:pt>
                <c:pt idx="1">
                  <c:v>63.655387110183412</c:v>
                </c:pt>
                <c:pt idx="2">
                  <c:v>59.292227161382577</c:v>
                </c:pt>
                <c:pt idx="3">
                  <c:v>49.700837473511868</c:v>
                </c:pt>
                <c:pt idx="4">
                  <c:v>53.92402551857095</c:v>
                </c:pt>
                <c:pt idx="5">
                  <c:v>53.643514981907643</c:v>
                </c:pt>
                <c:pt idx="6">
                  <c:v>53.363004445244343</c:v>
                </c:pt>
                <c:pt idx="7">
                  <c:v>50.358157241426078</c:v>
                </c:pt>
                <c:pt idx="8">
                  <c:v>115.85239857505481</c:v>
                </c:pt>
                <c:pt idx="9">
                  <c:v>90.945975274374476</c:v>
                </c:pt>
                <c:pt idx="10">
                  <c:v>101.023396746324</c:v>
                </c:pt>
                <c:pt idx="11">
                  <c:v>89.947165393276151</c:v>
                </c:pt>
                <c:pt idx="12">
                  <c:v>123.01433336355809</c:v>
                </c:pt>
                <c:pt idx="13">
                  <c:v>98.631174376796793</c:v>
                </c:pt>
                <c:pt idx="14">
                  <c:v>165.6982421665503</c:v>
                </c:pt>
                <c:pt idx="15">
                  <c:v>77.539292001055003</c:v>
                </c:pt>
                <c:pt idx="16">
                  <c:v>83.393563046860862</c:v>
                </c:pt>
                <c:pt idx="17">
                  <c:v>91.986570233738362</c:v>
                </c:pt>
                <c:pt idx="18">
                  <c:v>109.743322398674</c:v>
                </c:pt>
                <c:pt idx="19">
                  <c:v>97.316123479297005</c:v>
                </c:pt>
                <c:pt idx="20">
                  <c:v>103.3686826320272</c:v>
                </c:pt>
                <c:pt idx="21">
                  <c:v>108.5377147936923</c:v>
                </c:pt>
                <c:pt idx="22">
                  <c:v>109.773289804122</c:v>
                </c:pt>
                <c:pt idx="23">
                  <c:v>113.8663983351309</c:v>
                </c:pt>
                <c:pt idx="24">
                  <c:v>97.971452526829296</c:v>
                </c:pt>
                <c:pt idx="25">
                  <c:v>102.4082545773265</c:v>
                </c:pt>
                <c:pt idx="26">
                  <c:v>100</c:v>
                </c:pt>
                <c:pt idx="27">
                  <c:v>97.407149635701245</c:v>
                </c:pt>
                <c:pt idx="28">
                  <c:v>90.505244911310172</c:v>
                </c:pt>
                <c:pt idx="29">
                  <c:v>98.279622942965347</c:v>
                </c:pt>
                <c:pt idx="30">
                  <c:v>94.0876404719926</c:v>
                </c:pt>
                <c:pt idx="31">
                  <c:v>81.38312939110763</c:v>
                </c:pt>
                <c:pt idx="32">
                  <c:v>45.995635148871521</c:v>
                </c:pt>
                <c:pt idx="33">
                  <c:v>34.11565401146364</c:v>
                </c:pt>
                <c:pt idx="34">
                  <c:v>26.98438647798308</c:v>
                </c:pt>
                <c:pt idx="35">
                  <c:v>29.037795172253769</c:v>
                </c:pt>
                <c:pt idx="36">
                  <c:v>30.15061179691876</c:v>
                </c:pt>
                <c:pt idx="37">
                  <c:v>29.419890716719159</c:v>
                </c:pt>
                <c:pt idx="38">
                  <c:v>32.063697951495797</c:v>
                </c:pt>
                <c:pt idx="39">
                  <c:v>50.5657501945687</c:v>
                </c:pt>
                <c:pt idx="40">
                  <c:v>63.201443362894167</c:v>
                </c:pt>
                <c:pt idx="41">
                  <c:v>38.453316889324348</c:v>
                </c:pt>
                <c:pt idx="42">
                  <c:v>36.953723943881897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F4-4C32-9DB9-04B22EC5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602687"/>
        <c:axId val="1445594047"/>
      </c:lineChart>
      <c:catAx>
        <c:axId val="144560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5594047"/>
        <c:crosses val="autoZero"/>
        <c:auto val="1"/>
        <c:lblAlgn val="ctr"/>
        <c:lblOffset val="100"/>
        <c:noMultiLvlLbl val="0"/>
      </c:catAx>
      <c:valAx>
        <c:axId val="14455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56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407669</xdr:colOff>
      <xdr:row>104</xdr:row>
      <xdr:rowOff>0</xdr:rowOff>
    </xdr:from>
    <xdr:to>
      <xdr:col>14</xdr:col>
      <xdr:colOff>316229</xdr:colOff>
      <xdr:row>127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E4335C-9BF2-4ADA-B8C9-58AD5573E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Proyectos/2024-Proyectos%20SIIP%202025-2027/Proyecto%20Econom&#237;a/Analisis%20series%20historicas/Salarios%20varones%20y%20mujeres%201895-1986%20_Olguin%20JHE%202025.xlsx?3B42871D" TargetMode="External"/><Relationship Id="rId1" Type="http://schemas.openxmlformats.org/officeDocument/2006/relationships/externalLinkPath" Target="file:///\\3B42871D\Salarios%20varones%20y%20mujeres%201895-1986%20_Olguin%20JH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io ind"/>
      <sheetName val="Salarios 1915_1916_1923"/>
      <sheetName val="Salarios 1928-34"/>
      <sheetName val="Brecha ingresos"/>
      <sheetName val="SN 1895-1945"/>
      <sheetName val="SR selecc 1895-1945"/>
      <sheetName val="Sal nom y real 1952-1986"/>
      <sheetName val="SR 1895-1986"/>
      <sheetName val="Salario-costo canasta"/>
      <sheetName val="Brecha género"/>
      <sheetName val="SN 52-58"/>
    </sheetNames>
    <sheetDataSet>
      <sheetData sheetId="0">
        <row r="57">
          <cell r="C57" t="str">
            <v xml:space="preserve">Albañil </v>
          </cell>
          <cell r="F57" t="str">
            <v>Peón de bodega/Obrero vinìcola</v>
          </cell>
          <cell r="L57" t="str">
            <v>Salario ind. Cap Fed</v>
          </cell>
          <cell r="O57" t="str">
            <v>Peón de viña</v>
          </cell>
        </row>
        <row r="60">
          <cell r="A60">
            <v>1914</v>
          </cell>
          <cell r="C60">
            <v>68.614376191005064</v>
          </cell>
          <cell r="L60">
            <v>41.228710418486607</v>
          </cell>
          <cell r="O60">
            <v>63.394577414353527</v>
          </cell>
        </row>
        <row r="61">
          <cell r="A61">
            <v>1915</v>
          </cell>
          <cell r="C61">
            <v>63.655387110183412</v>
          </cell>
          <cell r="F61">
            <v>50.164085552768597</v>
          </cell>
          <cell r="L61">
            <v>37.012477429872632</v>
          </cell>
          <cell r="O61">
            <v>41.612858875982688</v>
          </cell>
        </row>
        <row r="62">
          <cell r="A62">
            <v>1916</v>
          </cell>
          <cell r="C62">
            <v>59.292227161382577</v>
          </cell>
          <cell r="F62">
            <v>46.725665979996201</v>
          </cell>
          <cell r="L62">
            <v>34.552297355635631</v>
          </cell>
          <cell r="O62">
            <v>38.760569895499167</v>
          </cell>
        </row>
        <row r="63">
          <cell r="A63">
            <v>1923</v>
          </cell>
          <cell r="C63">
            <v>49.700837473511868</v>
          </cell>
          <cell r="L63">
            <v>52.197681367940149</v>
          </cell>
        </row>
        <row r="64">
          <cell r="A64" t="str">
            <v>1928-1931</v>
          </cell>
          <cell r="C64">
            <v>53.92402551857095</v>
          </cell>
          <cell r="F64">
            <v>95.614236164446766</v>
          </cell>
          <cell r="L64">
            <v>59.191083025644382</v>
          </cell>
        </row>
        <row r="65">
          <cell r="A65">
            <v>1932</v>
          </cell>
          <cell r="C65">
            <v>53.643514981907643</v>
          </cell>
          <cell r="F65">
            <v>118.5827733378666</v>
          </cell>
          <cell r="L65">
            <v>63.135776772312013</v>
          </cell>
        </row>
        <row r="66">
          <cell r="A66">
            <v>1933</v>
          </cell>
          <cell r="C66">
            <v>53.363004445244343</v>
          </cell>
          <cell r="F66">
            <v>99.876111032241909</v>
          </cell>
          <cell r="L66">
            <v>58.354991089517959</v>
          </cell>
        </row>
        <row r="67">
          <cell r="A67">
            <v>1945</v>
          </cell>
          <cell r="C67">
            <v>50.358157241426078</v>
          </cell>
          <cell r="L67">
            <v>66.191545697135723</v>
          </cell>
        </row>
        <row r="68">
          <cell r="A68">
            <v>1952</v>
          </cell>
          <cell r="C68">
            <v>115.85239857505481</v>
          </cell>
          <cell r="F68">
            <v>172.0275088899875</v>
          </cell>
          <cell r="L68">
            <v>79.021266420259394</v>
          </cell>
          <cell r="O68">
            <v>114.048207459626</v>
          </cell>
        </row>
        <row r="69">
          <cell r="A69">
            <v>1953</v>
          </cell>
          <cell r="C69">
            <v>90.945975274374476</v>
          </cell>
          <cell r="F69">
            <v>135.044330220624</v>
          </cell>
          <cell r="L69">
            <v>82.653907435586817</v>
          </cell>
          <cell r="O69">
            <v>89.529656556832094</v>
          </cell>
        </row>
        <row r="70">
          <cell r="A70">
            <v>1954</v>
          </cell>
          <cell r="C70">
            <v>101.023396746324</v>
          </cell>
          <cell r="F70">
            <v>154.93511737808311</v>
          </cell>
          <cell r="L70">
            <v>91.163647101636769</v>
          </cell>
          <cell r="O70">
            <v>109.6192555829073</v>
          </cell>
        </row>
        <row r="71">
          <cell r="A71">
            <v>1955</v>
          </cell>
          <cell r="C71">
            <v>89.947165393276151</v>
          </cell>
          <cell r="F71">
            <v>137.94799102852571</v>
          </cell>
          <cell r="L71">
            <v>88.478892342411669</v>
          </cell>
          <cell r="O71">
            <v>97.600572043350468</v>
          </cell>
        </row>
        <row r="72">
          <cell r="A72">
            <v>1956</v>
          </cell>
          <cell r="C72">
            <v>123.01433336355809</v>
          </cell>
          <cell r="F72">
            <v>166.58774075109571</v>
          </cell>
          <cell r="L72">
            <v>95.859985504020386</v>
          </cell>
          <cell r="O72">
            <v>117.9449985095994</v>
          </cell>
        </row>
        <row r="73">
          <cell r="A73">
            <v>1957</v>
          </cell>
          <cell r="C73">
            <v>98.631174376796793</v>
          </cell>
          <cell r="F73">
            <v>133.56772383993899</v>
          </cell>
          <cell r="L73">
            <v>93.077538933842021</v>
          </cell>
          <cell r="O73">
            <v>94.566652493176207</v>
          </cell>
        </row>
        <row r="74">
          <cell r="A74">
            <v>1958</v>
          </cell>
          <cell r="C74">
            <v>165.6982421665503</v>
          </cell>
          <cell r="F74">
            <v>216.66901628623319</v>
          </cell>
          <cell r="L74">
            <v>99.582381992344679</v>
          </cell>
          <cell r="O74">
            <v>170.0114609938704</v>
          </cell>
        </row>
        <row r="75">
          <cell r="A75">
            <v>1959</v>
          </cell>
          <cell r="C75">
            <v>77.539292001055003</v>
          </cell>
          <cell r="F75">
            <v>129.12152266195551</v>
          </cell>
          <cell r="L75">
            <v>74.113541616869298</v>
          </cell>
          <cell r="O75">
            <v>115.0239324678755</v>
          </cell>
        </row>
        <row r="76">
          <cell r="A76">
            <v>1960</v>
          </cell>
          <cell r="C76">
            <v>83.393563046860862</v>
          </cell>
          <cell r="F76">
            <v>119.72268633812379</v>
          </cell>
          <cell r="L76">
            <v>75.709686441708996</v>
          </cell>
          <cell r="O76">
            <v>99.298342917032514</v>
          </cell>
        </row>
        <row r="77">
          <cell r="A77">
            <v>1961</v>
          </cell>
          <cell r="C77">
            <v>91.986570233738362</v>
          </cell>
          <cell r="F77">
            <v>126.35527925872709</v>
          </cell>
          <cell r="L77">
            <v>84.248395980547926</v>
          </cell>
          <cell r="O77">
            <v>87.472038127557582</v>
          </cell>
        </row>
        <row r="78">
          <cell r="A78">
            <v>1962</v>
          </cell>
          <cell r="C78">
            <v>109.743322398674</v>
          </cell>
          <cell r="F78">
            <v>126.97425746341879</v>
          </cell>
          <cell r="L78">
            <v>82.348457323485093</v>
          </cell>
          <cell r="O78">
            <v>86.959402188209339</v>
          </cell>
        </row>
        <row r="79">
          <cell r="A79">
            <v>1963</v>
          </cell>
          <cell r="C79">
            <v>97.316123479297005</v>
          </cell>
          <cell r="F79">
            <v>124.5431143128117</v>
          </cell>
          <cell r="L79">
            <v>84.195992473634433</v>
          </cell>
          <cell r="O79">
            <v>77.112226384863661</v>
          </cell>
        </row>
        <row r="80">
          <cell r="A80">
            <v>1964</v>
          </cell>
          <cell r="C80">
            <v>103.3686826320272</v>
          </cell>
          <cell r="F80">
            <v>116.2238034438346</v>
          </cell>
          <cell r="L80">
            <v>93.157916312910999</v>
          </cell>
          <cell r="O80">
            <v>86.081874353022826</v>
          </cell>
        </row>
        <row r="81">
          <cell r="A81">
            <v>1965</v>
          </cell>
          <cell r="C81">
            <v>108.5377147936923</v>
          </cell>
          <cell r="F81">
            <v>128.30088994325871</v>
          </cell>
          <cell r="L81">
            <v>100.77150889467021</v>
          </cell>
          <cell r="O81">
            <v>107.0994352909414</v>
          </cell>
        </row>
        <row r="82">
          <cell r="A82">
            <v>1966</v>
          </cell>
          <cell r="C82">
            <v>109.773289804122</v>
          </cell>
          <cell r="F82">
            <v>126.6636922578258</v>
          </cell>
          <cell r="L82">
            <v>101.87781086586141</v>
          </cell>
          <cell r="O82">
            <v>115.05463258543681</v>
          </cell>
        </row>
        <row r="83">
          <cell r="A83">
            <v>1967</v>
          </cell>
          <cell r="C83">
            <v>113.8663983351309</v>
          </cell>
          <cell r="F83">
            <v>121.57787774420549</v>
          </cell>
          <cell r="L83">
            <v>101.82954555657039</v>
          </cell>
          <cell r="O83">
            <v>111.19045063732339</v>
          </cell>
        </row>
        <row r="84">
          <cell r="A84">
            <v>1968</v>
          </cell>
          <cell r="C84">
            <v>97.971452526829296</v>
          </cell>
          <cell r="F84">
            <v>104.60646381974971</v>
          </cell>
          <cell r="L84">
            <v>94.256341017170811</v>
          </cell>
          <cell r="O84">
            <v>95.669048247136374</v>
          </cell>
        </row>
        <row r="85">
          <cell r="A85">
            <v>1969</v>
          </cell>
          <cell r="C85">
            <v>102.4082545773265</v>
          </cell>
          <cell r="F85">
            <v>108.8215504352934</v>
          </cell>
          <cell r="L85">
            <v>96.698638260536953</v>
          </cell>
          <cell r="O85">
            <v>112.46780222655281</v>
          </cell>
        </row>
        <row r="86">
          <cell r="A86">
            <v>1970</v>
          </cell>
          <cell r="C86">
            <v>100</v>
          </cell>
          <cell r="F86">
            <v>100</v>
          </cell>
          <cell r="L86">
            <v>100</v>
          </cell>
          <cell r="O86">
            <v>100</v>
          </cell>
        </row>
        <row r="87">
          <cell r="A87">
            <v>1971</v>
          </cell>
          <cell r="C87">
            <v>97.407149635701245</v>
          </cell>
          <cell r="F87">
            <v>112.3125873128313</v>
          </cell>
          <cell r="L87">
            <v>104.10665427134821</v>
          </cell>
          <cell r="O87">
            <v>135.51594044646751</v>
          </cell>
        </row>
        <row r="88">
          <cell r="A88">
            <v>1972</v>
          </cell>
          <cell r="C88">
            <v>90.505244911310172</v>
          </cell>
          <cell r="F88">
            <v>98.950596867456468</v>
          </cell>
          <cell r="L88">
            <v>96.758235675604695</v>
          </cell>
          <cell r="O88">
            <v>124.4741514966757</v>
          </cell>
        </row>
        <row r="89">
          <cell r="A89">
            <v>1973</v>
          </cell>
          <cell r="C89">
            <v>98.279622942965347</v>
          </cell>
          <cell r="F89">
            <v>80.994222017966493</v>
          </cell>
          <cell r="L89">
            <v>104.2850347127963</v>
          </cell>
          <cell r="O89">
            <v>162.03140680423411</v>
          </cell>
        </row>
        <row r="90">
          <cell r="A90">
            <v>1974</v>
          </cell>
          <cell r="C90">
            <v>94.0876404719926</v>
          </cell>
          <cell r="F90">
            <v>80.480559781276099</v>
          </cell>
          <cell r="L90">
            <v>115.396618851266</v>
          </cell>
          <cell r="O90">
            <v>153.00037034336961</v>
          </cell>
        </row>
        <row r="91">
          <cell r="A91">
            <v>1975</v>
          </cell>
          <cell r="C91">
            <v>81.38312939110763</v>
          </cell>
          <cell r="F91">
            <v>103.6625329377386</v>
          </cell>
          <cell r="L91">
            <v>110.88845269423889</v>
          </cell>
          <cell r="O91">
            <v>77.375450935904709</v>
          </cell>
        </row>
        <row r="92">
          <cell r="A92">
            <v>1976</v>
          </cell>
          <cell r="C92">
            <v>45.995635148871521</v>
          </cell>
          <cell r="F92">
            <v>78.349359231802566</v>
          </cell>
          <cell r="L92">
            <v>72.635546160434856</v>
          </cell>
          <cell r="O92">
            <v>65.128176341055791</v>
          </cell>
        </row>
        <row r="93">
          <cell r="A93">
            <v>1977</v>
          </cell>
          <cell r="C93">
            <v>34.11565401146364</v>
          </cell>
          <cell r="F93">
            <v>54.160681537454622</v>
          </cell>
          <cell r="L93">
            <v>69.299889001148571</v>
          </cell>
          <cell r="O93">
            <v>47.794116428361832</v>
          </cell>
        </row>
        <row r="94">
          <cell r="A94">
            <v>1978</v>
          </cell>
          <cell r="C94">
            <v>26.98438647798308</v>
          </cell>
          <cell r="F94">
            <v>38.558925384595831</v>
          </cell>
          <cell r="L94">
            <v>67.890715560612236</v>
          </cell>
          <cell r="O94">
            <v>37.956744393765611</v>
          </cell>
        </row>
        <row r="95">
          <cell r="A95">
            <v>1979</v>
          </cell>
          <cell r="C95">
            <v>29.037795172253769</v>
          </cell>
          <cell r="F95">
            <v>35.842889471879992</v>
          </cell>
          <cell r="L95">
            <v>79.144999793077787</v>
          </cell>
          <cell r="O95">
            <v>26.843779780745741</v>
          </cell>
        </row>
        <row r="96">
          <cell r="A96">
            <v>1980</v>
          </cell>
          <cell r="C96">
            <v>30.15061179691876</v>
          </cell>
          <cell r="F96">
            <v>42.703426028724749</v>
          </cell>
          <cell r="L96">
            <v>87.717378057980554</v>
          </cell>
          <cell r="O96">
            <v>42.240322563887432</v>
          </cell>
        </row>
        <row r="97">
          <cell r="A97">
            <v>1981</v>
          </cell>
          <cell r="C97">
            <v>29.419890716719159</v>
          </cell>
          <cell r="F97">
            <v>42.266883462315143</v>
          </cell>
          <cell r="L97">
            <v>78.684710984056665</v>
          </cell>
          <cell r="O97">
            <v>43.459758119237918</v>
          </cell>
        </row>
        <row r="98">
          <cell r="A98">
            <v>1982</v>
          </cell>
          <cell r="C98">
            <v>32.063697951495797</v>
          </cell>
          <cell r="F98">
            <v>44.652404041895863</v>
          </cell>
          <cell r="L98">
            <v>70.411994202803626</v>
          </cell>
          <cell r="O98">
            <v>54.189622213298371</v>
          </cell>
        </row>
        <row r="99">
          <cell r="A99">
            <v>1983</v>
          </cell>
          <cell r="C99">
            <v>50.5657501945687</v>
          </cell>
          <cell r="F99">
            <v>71.877633736176108</v>
          </cell>
          <cell r="L99">
            <v>91.101794432116208</v>
          </cell>
          <cell r="O99">
            <v>74.597900617357396</v>
          </cell>
        </row>
        <row r="100">
          <cell r="A100">
            <v>1984</v>
          </cell>
          <cell r="C100">
            <v>63.201443362894167</v>
          </cell>
          <cell r="F100">
            <v>85.521294415750646</v>
          </cell>
          <cell r="L100">
            <v>110.7910394999646</v>
          </cell>
          <cell r="O100">
            <v>84.759765965968853</v>
          </cell>
        </row>
        <row r="101">
          <cell r="A101">
            <v>1985</v>
          </cell>
          <cell r="C101">
            <v>38.453316889324348</v>
          </cell>
          <cell r="F101">
            <v>73.968960595763264</v>
          </cell>
          <cell r="L101">
            <v>90.228908042338958</v>
          </cell>
          <cell r="O101">
            <v>72.312233448316107</v>
          </cell>
        </row>
        <row r="102">
          <cell r="A102">
            <v>1986</v>
          </cell>
          <cell r="C102">
            <v>36.953723943881897</v>
          </cell>
          <cell r="F102">
            <v>74.310411844809707</v>
          </cell>
          <cell r="L102">
            <v>94.570034396314412</v>
          </cell>
          <cell r="O102">
            <v>62.892600717498233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DA46-6D85-4888-A7E8-34CD846454E7}">
  <sheetPr>
    <tabColor rgb="FFFF0000"/>
  </sheetPr>
  <dimension ref="A2:O133"/>
  <sheetViews>
    <sheetView tabSelected="1" topLeftCell="A41" workbookViewId="0">
      <selection activeCell="A53" sqref="A53"/>
    </sheetView>
  </sheetViews>
  <sheetFormatPr baseColWidth="10" defaultColWidth="11.44140625" defaultRowHeight="14.4" x14ac:dyDescent="0.3"/>
  <cols>
    <col min="1" max="1" width="9.109375" customWidth="1"/>
    <col min="2" max="2" width="12" bestFit="1" customWidth="1"/>
    <col min="3" max="5" width="9.109375"/>
    <col min="6" max="6" width="15.6640625" customWidth="1"/>
    <col min="7" max="11" width="9.109375"/>
    <col min="12" max="12" width="20.44140625" customWidth="1"/>
  </cols>
  <sheetData>
    <row r="2" spans="1:15" ht="15.6" x14ac:dyDescent="0.3">
      <c r="A2" s="1" t="s">
        <v>0</v>
      </c>
      <c r="O2" s="2" t="s">
        <v>1</v>
      </c>
    </row>
    <row r="4" spans="1:15" x14ac:dyDescent="0.3">
      <c r="A4" s="19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5" t="s">
        <v>7</v>
      </c>
      <c r="G4" s="3" t="s">
        <v>8</v>
      </c>
      <c r="I4" s="20" t="s">
        <v>9</v>
      </c>
      <c r="L4" s="17" t="s">
        <v>10</v>
      </c>
      <c r="O4" s="6" t="s">
        <v>11</v>
      </c>
    </row>
    <row r="5" spans="1:15" x14ac:dyDescent="0.3">
      <c r="A5" s="19"/>
      <c r="B5" s="21" t="s">
        <v>12</v>
      </c>
      <c r="C5" s="21"/>
      <c r="D5" s="21"/>
      <c r="E5" s="21"/>
      <c r="F5" s="21"/>
      <c r="G5" s="21"/>
      <c r="I5" s="20"/>
      <c r="L5" s="7" t="s">
        <v>13</v>
      </c>
      <c r="O5" t="s">
        <v>12</v>
      </c>
    </row>
    <row r="6" spans="1:15" x14ac:dyDescent="0.3">
      <c r="A6" s="8">
        <v>1895</v>
      </c>
      <c r="L6">
        <v>471.87396044745265</v>
      </c>
    </row>
    <row r="7" spans="1:15" x14ac:dyDescent="0.3">
      <c r="A7">
        <v>1910</v>
      </c>
      <c r="L7">
        <v>645.51956554847698</v>
      </c>
    </row>
    <row r="8" spans="1:15" x14ac:dyDescent="0.3">
      <c r="A8" s="8">
        <v>1914</v>
      </c>
      <c r="B8">
        <v>23.654863078375826</v>
      </c>
      <c r="C8">
        <v>47.309726156751651</v>
      </c>
      <c r="D8">
        <v>47.309726156751651</v>
      </c>
      <c r="E8">
        <v>85.157507082152975</v>
      </c>
      <c r="I8">
        <v>2.1179999999999999</v>
      </c>
      <c r="L8">
        <v>754.72382705515236</v>
      </c>
      <c r="O8">
        <v>25.074154863078377</v>
      </c>
    </row>
    <row r="9" spans="1:15" x14ac:dyDescent="0.3">
      <c r="A9" s="8">
        <v>1915</v>
      </c>
      <c r="B9">
        <v>30.723346473937799</v>
      </c>
      <c r="C9">
        <v>43.890494962768287</v>
      </c>
      <c r="D9">
        <v>43.890494962768287</v>
      </c>
      <c r="F9">
        <v>21.945247481384143</v>
      </c>
      <c r="G9">
        <v>32.917871222076215</v>
      </c>
      <c r="I9">
        <v>2.2829999999999999</v>
      </c>
      <c r="L9">
        <v>677.54238080996242</v>
      </c>
      <c r="O9">
        <v>16.458935611038108</v>
      </c>
    </row>
    <row r="10" spans="1:15" x14ac:dyDescent="0.3">
      <c r="A10" s="8">
        <v>1916</v>
      </c>
      <c r="B10">
        <v>28.61746226030192</v>
      </c>
      <c r="C10">
        <v>40.882088943288451</v>
      </c>
      <c r="D10">
        <v>40.882088943288451</v>
      </c>
      <c r="F10">
        <v>20.441044471644226</v>
      </c>
      <c r="G10">
        <v>34.749775601795186</v>
      </c>
      <c r="I10">
        <v>2.4510000000000001</v>
      </c>
      <c r="L10">
        <v>632.50685818443719</v>
      </c>
      <c r="O10">
        <v>15.330783353733171</v>
      </c>
    </row>
    <row r="11" spans="1:15" x14ac:dyDescent="0.3">
      <c r="A11">
        <v>1923</v>
      </c>
      <c r="B11">
        <v>25.701607387140903</v>
      </c>
      <c r="C11">
        <v>34.268809849521205</v>
      </c>
      <c r="D11">
        <v>34.268809849521205</v>
      </c>
      <c r="G11">
        <v>29.985208618331054</v>
      </c>
      <c r="I11">
        <v>2.9239999999999999</v>
      </c>
      <c r="L11">
        <v>955.5194291925485</v>
      </c>
    </row>
    <row r="12" spans="1:15" x14ac:dyDescent="0.3">
      <c r="A12" s="8" t="s">
        <v>14</v>
      </c>
      <c r="B12">
        <v>44.61684601113172</v>
      </c>
      <c r="C12">
        <v>37.18070500927643</v>
      </c>
      <c r="D12">
        <v>55.771057513914648</v>
      </c>
      <c r="E12">
        <v>85.515621521335802</v>
      </c>
      <c r="F12">
        <v>41.828293135435992</v>
      </c>
      <c r="I12" s="9">
        <v>2.6950000000000003</v>
      </c>
      <c r="J12" t="s">
        <v>15</v>
      </c>
      <c r="L12">
        <f>AVERAGE(1121.29703,1112.06591,1011.23476,1089.55879)</f>
        <v>1083.5391225000001</v>
      </c>
    </row>
    <row r="13" spans="1:15" x14ac:dyDescent="0.3">
      <c r="A13" s="8">
        <v>1932</v>
      </c>
      <c r="B13">
        <v>55.334744592728939</v>
      </c>
      <c r="C13" s="10">
        <f>AVERAGE(C12,C14)</f>
        <v>36.987292529118022</v>
      </c>
      <c r="D13">
        <v>68.246184997699032</v>
      </c>
      <c r="E13">
        <v>101.4470317533364</v>
      </c>
      <c r="F13">
        <v>51.876323055683379</v>
      </c>
      <c r="I13">
        <v>2.173</v>
      </c>
      <c r="L13">
        <v>1155.7498303011005</v>
      </c>
    </row>
    <row r="14" spans="1:15" x14ac:dyDescent="0.3">
      <c r="A14" s="8">
        <v>1933</v>
      </c>
      <c r="B14">
        <v>44.152656058751525</v>
      </c>
      <c r="C14">
        <v>36.793880048959608</v>
      </c>
      <c r="D14">
        <v>55.190820073439411</v>
      </c>
      <c r="E14">
        <v>88.141783761729897</v>
      </c>
      <c r="F14">
        <v>43.692732558139539</v>
      </c>
      <c r="I14">
        <v>2.4510000000000001</v>
      </c>
      <c r="L14">
        <v>1068.2338049337163</v>
      </c>
    </row>
    <row r="15" spans="1:15" x14ac:dyDescent="0.3">
      <c r="A15">
        <v>1945</v>
      </c>
      <c r="C15">
        <v>34.722032919434021</v>
      </c>
      <c r="D15">
        <v>37.615535662720184</v>
      </c>
      <c r="I15">
        <v>3.4630000000000001</v>
      </c>
      <c r="L15">
        <v>1211.6880731937295</v>
      </c>
    </row>
    <row r="16" spans="1:15" x14ac:dyDescent="0.3">
      <c r="A16" s="8">
        <v>1952</v>
      </c>
      <c r="B16">
        <v>63.904336734693878</v>
      </c>
      <c r="C16">
        <v>79.880420918367349</v>
      </c>
      <c r="F16">
        <v>75.256754201680664</v>
      </c>
      <c r="I16">
        <v>13.327999999999999</v>
      </c>
      <c r="L16">
        <v>1446.5461569397339</v>
      </c>
      <c r="O16">
        <v>45.108943577430971</v>
      </c>
    </row>
    <row r="17" spans="1:15" x14ac:dyDescent="0.3">
      <c r="A17" s="8">
        <v>1953</v>
      </c>
      <c r="B17">
        <v>50.165920603133465</v>
      </c>
      <c r="C17">
        <v>62.707400753916829</v>
      </c>
      <c r="F17">
        <v>59.077748851454821</v>
      </c>
      <c r="I17">
        <v>16.978000000000002</v>
      </c>
      <c r="L17">
        <v>1513.0444951505767</v>
      </c>
      <c r="O17">
        <v>35.411238072800089</v>
      </c>
    </row>
    <row r="18" spans="1:15" x14ac:dyDescent="0.3">
      <c r="A18" s="8">
        <v>1954</v>
      </c>
      <c r="B18">
        <v>55.440330268981953</v>
      </c>
      <c r="C18">
        <v>69.655799568720923</v>
      </c>
      <c r="F18">
        <v>67.77935762115537</v>
      </c>
      <c r="I18">
        <v>17.622</v>
      </c>
      <c r="L18">
        <v>1668.821943021574</v>
      </c>
      <c r="O18">
        <v>43.357181364203839</v>
      </c>
    </row>
    <row r="19" spans="1:15" x14ac:dyDescent="0.3">
      <c r="A19" s="8">
        <v>1955</v>
      </c>
      <c r="B19">
        <v>49.361838116410667</v>
      </c>
      <c r="C19">
        <v>62.018719684721091</v>
      </c>
      <c r="F19">
        <v>60.34801131770412</v>
      </c>
      <c r="I19">
        <v>19.792000000000002</v>
      </c>
      <c r="L19">
        <v>1619.6754049411993</v>
      </c>
      <c r="O19">
        <v>38.603488783346805</v>
      </c>
    </row>
    <row r="20" spans="1:15" x14ac:dyDescent="0.3">
      <c r="A20" s="8">
        <v>1956</v>
      </c>
      <c r="B20">
        <v>63.613940122961772</v>
      </c>
      <c r="C20">
        <v>84.818586830615686</v>
      </c>
      <c r="F20">
        <v>72.877022632094793</v>
      </c>
      <c r="I20">
        <v>22.446000000000002</v>
      </c>
      <c r="L20">
        <v>1754.7920947972589</v>
      </c>
      <c r="O20">
        <v>46.650222756838637</v>
      </c>
    </row>
    <row r="21" spans="1:15" x14ac:dyDescent="0.3">
      <c r="A21" s="8">
        <v>1957</v>
      </c>
      <c r="B21">
        <v>51.004768708697974</v>
      </c>
      <c r="C21">
        <v>68.006358278263974</v>
      </c>
      <c r="F21">
        <v>58.431778889087326</v>
      </c>
      <c r="I21">
        <v>27.995000000000001</v>
      </c>
      <c r="L21">
        <v>1703.8572316228849</v>
      </c>
      <c r="O21">
        <v>37.403497053045186</v>
      </c>
    </row>
    <row r="22" spans="1:15" x14ac:dyDescent="0.3">
      <c r="A22" s="8">
        <v>1958</v>
      </c>
      <c r="B22">
        <v>78.886361168422198</v>
      </c>
      <c r="C22">
        <v>114.24921272668043</v>
      </c>
      <c r="F22">
        <v>94.786043272885223</v>
      </c>
      <c r="I22">
        <v>36.835999999999999</v>
      </c>
      <c r="L22">
        <v>1822.9334772215091</v>
      </c>
      <c r="O22">
        <v>67.243822347703329</v>
      </c>
    </row>
    <row r="23" spans="1:15" x14ac:dyDescent="0.3">
      <c r="A23" s="8">
        <v>1959</v>
      </c>
      <c r="B23">
        <v>36.915253376017887</v>
      </c>
      <c r="C23">
        <v>53.463470406646593</v>
      </c>
      <c r="F23">
        <v>56.486702364165296</v>
      </c>
      <c r="I23">
        <v>78.716999999999999</v>
      </c>
      <c r="L23">
        <v>1356.7064115741539</v>
      </c>
      <c r="O23">
        <v>45.494867436513076</v>
      </c>
    </row>
    <row r="24" spans="1:15" x14ac:dyDescent="0.3">
      <c r="A24" s="8">
        <v>1960</v>
      </c>
      <c r="B24">
        <v>43.125</v>
      </c>
      <c r="C24">
        <v>57.5</v>
      </c>
      <c r="F24">
        <v>52.375</v>
      </c>
      <c r="I24">
        <v>100.202</v>
      </c>
      <c r="L24">
        <v>1385.9250924038392</v>
      </c>
      <c r="O24">
        <v>39.274999999999999</v>
      </c>
    </row>
    <row r="25" spans="1:15" x14ac:dyDescent="0.3">
      <c r="A25" s="8">
        <v>1961</v>
      </c>
      <c r="B25">
        <v>45.80686695278969</v>
      </c>
      <c r="C25">
        <v>63.424892703862653</v>
      </c>
      <c r="F25">
        <v>55.276555793991406</v>
      </c>
      <c r="I25">
        <v>113.74940803897687</v>
      </c>
      <c r="L25">
        <v>1542.2328564801867</v>
      </c>
      <c r="O25">
        <v>34.59739806866952</v>
      </c>
    </row>
    <row r="26" spans="1:15" x14ac:dyDescent="0.3">
      <c r="A26" s="8">
        <v>1962</v>
      </c>
      <c r="B26">
        <v>55.54733975701717</v>
      </c>
      <c r="C26">
        <v>75.668202764976954</v>
      </c>
      <c r="F26">
        <v>55.54733975701717</v>
      </c>
      <c r="I26">
        <v>145.6651485992692</v>
      </c>
      <c r="L26">
        <v>1507.4529916754527</v>
      </c>
      <c r="O26">
        <v>34.394637620444065</v>
      </c>
    </row>
    <row r="27" spans="1:15" x14ac:dyDescent="0.3">
      <c r="A27" s="8">
        <v>1963</v>
      </c>
      <c r="B27">
        <v>49.354272205336031</v>
      </c>
      <c r="C27">
        <v>67.099628503883821</v>
      </c>
      <c r="F27">
        <v>54.483789260385002</v>
      </c>
      <c r="I27">
        <v>180.69313154689405</v>
      </c>
      <c r="L27">
        <v>1541.2735692532178</v>
      </c>
      <c r="O27">
        <v>30.499831138129007</v>
      </c>
    </row>
    <row r="28" spans="1:15" x14ac:dyDescent="0.3">
      <c r="A28" s="8">
        <v>1964</v>
      </c>
      <c r="B28">
        <v>52.546723804257667</v>
      </c>
      <c r="C28">
        <v>71.272878075753383</v>
      </c>
      <c r="D28">
        <v>53.341166712745363</v>
      </c>
      <c r="E28">
        <v>76.833978435167253</v>
      </c>
      <c r="F28">
        <v>50.844346143212604</v>
      </c>
      <c r="G28">
        <v>53.681642244954375</v>
      </c>
      <c r="I28">
        <v>220.7251120584653</v>
      </c>
      <c r="L28">
        <v>1705.3286024837207</v>
      </c>
      <c r="O28">
        <v>34.047553220901293</v>
      </c>
    </row>
    <row r="29" spans="1:15" x14ac:dyDescent="0.3">
      <c r="A29" s="8">
        <v>1965</v>
      </c>
      <c r="B29">
        <v>55.156938621949905</v>
      </c>
      <c r="C29">
        <v>74.836934322261627</v>
      </c>
      <c r="D29">
        <v>58.06922498118886</v>
      </c>
      <c r="E29">
        <v>84.368053316134564</v>
      </c>
      <c r="F29">
        <v>56.127700741696223</v>
      </c>
      <c r="G29">
        <v>59.039987100935178</v>
      </c>
      <c r="I29">
        <v>283.85481303288674</v>
      </c>
      <c r="L29">
        <v>1844.7013762769916</v>
      </c>
      <c r="O29">
        <v>42.360528861657528</v>
      </c>
    </row>
    <row r="30" spans="1:15" x14ac:dyDescent="0.3">
      <c r="A30" s="8">
        <v>1966</v>
      </c>
      <c r="B30">
        <v>55.813009455493969</v>
      </c>
      <c r="C30">
        <v>75.688865340723837</v>
      </c>
      <c r="D30">
        <v>58.556814476687322</v>
      </c>
      <c r="E30">
        <v>82.447994783175744</v>
      </c>
      <c r="F30">
        <v>55.411477013368113</v>
      </c>
      <c r="G30">
        <v>57.619905445060319</v>
      </c>
      <c r="I30">
        <v>374.32342752740561</v>
      </c>
      <c r="L30">
        <v>1864.9531001146051</v>
      </c>
      <c r="O30">
        <v>45.507010107597004</v>
      </c>
    </row>
    <row r="31" spans="1:15" x14ac:dyDescent="0.3">
      <c r="A31" s="8">
        <v>1967</v>
      </c>
      <c r="B31">
        <v>57.899325048886645</v>
      </c>
      <c r="C31">
        <v>78.511070459849861</v>
      </c>
      <c r="D31">
        <v>55.258121491200399</v>
      </c>
      <c r="E31">
        <v>74.575159275846843</v>
      </c>
      <c r="F31">
        <v>53.186589289093547</v>
      </c>
      <c r="G31">
        <v>55.258121491200399</v>
      </c>
      <c r="I31">
        <v>483.70959378806333</v>
      </c>
      <c r="L31">
        <v>1864.0695658354014</v>
      </c>
      <c r="O31">
        <v>43.978628650728567</v>
      </c>
    </row>
    <row r="32" spans="1:15" x14ac:dyDescent="0.3">
      <c r="A32" s="8">
        <v>1968</v>
      </c>
      <c r="B32">
        <v>49.816987788331069</v>
      </c>
      <c r="C32">
        <v>67.551478968792395</v>
      </c>
      <c r="D32">
        <v>47.544477611940295</v>
      </c>
      <c r="E32">
        <v>64.164993215739486</v>
      </c>
      <c r="F32">
        <v>45.762116689280866</v>
      </c>
      <c r="G32">
        <v>47.544477611940295</v>
      </c>
      <c r="I32">
        <v>562.18692143727162</v>
      </c>
      <c r="L32">
        <v>1725.436126782108</v>
      </c>
      <c r="O32">
        <v>37.839522388059699</v>
      </c>
    </row>
    <row r="33" spans="1:15" x14ac:dyDescent="0.3">
      <c r="A33" s="8">
        <v>1969</v>
      </c>
      <c r="B33">
        <v>53.432762064977403</v>
      </c>
      <c r="C33">
        <v>70.610661339501647</v>
      </c>
      <c r="D33">
        <v>54.900220796971936</v>
      </c>
      <c r="E33">
        <v>72.034959520555162</v>
      </c>
      <c r="F33">
        <v>47.606087687940288</v>
      </c>
      <c r="G33">
        <v>49.764115234991074</v>
      </c>
      <c r="I33">
        <v>580.40269305724712</v>
      </c>
      <c r="L33">
        <v>1770.1442901859541</v>
      </c>
      <c r="O33">
        <v>44.483853432867221</v>
      </c>
    </row>
    <row r="34" spans="1:15" x14ac:dyDescent="0.3">
      <c r="A34" s="8">
        <v>1970</v>
      </c>
      <c r="B34">
        <v>51.179125212870858</v>
      </c>
      <c r="C34">
        <v>68.950165815183311</v>
      </c>
      <c r="D34">
        <v>49.376266021331915</v>
      </c>
      <c r="E34">
        <v>65.234068297929568</v>
      </c>
      <c r="F34">
        <v>43.746930178363371</v>
      </c>
      <c r="G34">
        <v>45.476203280451749</v>
      </c>
      <c r="I34">
        <v>680.84879049939082</v>
      </c>
      <c r="L34">
        <v>1830.5783018542836</v>
      </c>
      <c r="O34">
        <v>39.552523079680931</v>
      </c>
    </row>
    <row r="35" spans="1:15" x14ac:dyDescent="0.3">
      <c r="A35" s="8">
        <v>1971</v>
      </c>
      <c r="C35">
        <v>67.162391189659743</v>
      </c>
      <c r="D35">
        <v>46.724017409654465</v>
      </c>
      <c r="E35">
        <v>57.146234502769737</v>
      </c>
      <c r="F35">
        <v>49.133309153257727</v>
      </c>
      <c r="G35">
        <v>51.921590609337919</v>
      </c>
      <c r="I35">
        <v>925.37340316686937</v>
      </c>
      <c r="L35">
        <v>1905.7538238777558</v>
      </c>
      <c r="O35">
        <v>53.599973621735707</v>
      </c>
    </row>
    <row r="36" spans="1:15" x14ac:dyDescent="0.3">
      <c r="A36" s="8">
        <v>1972</v>
      </c>
      <c r="C36">
        <v>62.403516437786124</v>
      </c>
      <c r="D36">
        <v>42.604535996670847</v>
      </c>
      <c r="E36">
        <v>49.266833125260113</v>
      </c>
      <c r="F36">
        <v>43.287848522680001</v>
      </c>
      <c r="G36">
        <v>42.741198501872674</v>
      </c>
      <c r="I36">
        <v>1466.4153836784403</v>
      </c>
      <c r="L36">
        <v>1771.2352675346501</v>
      </c>
      <c r="O36">
        <v>49.23266749895965</v>
      </c>
    </row>
    <row r="37" spans="1:15" x14ac:dyDescent="0.3">
      <c r="A37" s="8">
        <v>1973</v>
      </c>
      <c r="C37">
        <v>67.763962981711543</v>
      </c>
      <c r="D37">
        <v>47.090572797009479</v>
      </c>
      <c r="E37">
        <v>65.046584374959465</v>
      </c>
      <c r="F37">
        <v>35.432485754708424</v>
      </c>
      <c r="G37">
        <v>35.048855833755191</v>
      </c>
      <c r="I37">
        <v>2350.7499043848957</v>
      </c>
      <c r="L37">
        <v>1909.0192175336572</v>
      </c>
      <c r="O37">
        <v>64.08750957257638</v>
      </c>
    </row>
    <row r="38" spans="1:15" x14ac:dyDescent="0.3">
      <c r="A38" s="8">
        <v>1974</v>
      </c>
      <c r="C38">
        <v>64.873584117032422</v>
      </c>
      <c r="D38">
        <v>61.055977011494278</v>
      </c>
      <c r="E38">
        <v>62.49723092998957</v>
      </c>
      <c r="F38">
        <v>35.207774294670863</v>
      </c>
      <c r="G38">
        <v>34.864618599791029</v>
      </c>
      <c r="I38">
        <v>2920.0156516443349</v>
      </c>
      <c r="L38">
        <v>2112.4254657647648</v>
      </c>
      <c r="O38">
        <v>60.515506792058552</v>
      </c>
    </row>
    <row r="39" spans="1:15" x14ac:dyDescent="0.3">
      <c r="A39" s="8">
        <v>1975</v>
      </c>
      <c r="C39">
        <v>56.113802660753898</v>
      </c>
      <c r="D39">
        <v>80.834822616408005</v>
      </c>
      <c r="E39">
        <v>65.628422025129368</v>
      </c>
      <c r="F39">
        <v>45.349175905395434</v>
      </c>
      <c r="G39">
        <v>52.412324464153748</v>
      </c>
      <c r="I39">
        <v>8256.595980511569</v>
      </c>
      <c r="L39">
        <v>2029.8999542826884</v>
      </c>
      <c r="O39">
        <v>30.603943089430903</v>
      </c>
    </row>
    <row r="40" spans="1:15" x14ac:dyDescent="0.3">
      <c r="A40" s="8">
        <v>1976</v>
      </c>
      <c r="C40">
        <v>31.71406670289365</v>
      </c>
      <c r="D40">
        <v>34.434375084906961</v>
      </c>
      <c r="E40">
        <v>28.648003667979907</v>
      </c>
      <c r="F40">
        <v>34.275439478331762</v>
      </c>
      <c r="G40">
        <v>40.106982067653874</v>
      </c>
      <c r="I40">
        <v>44920.031790499372</v>
      </c>
      <c r="L40">
        <v>1329.6505474462726</v>
      </c>
      <c r="O40">
        <v>25.759836978671387</v>
      </c>
    </row>
    <row r="41" spans="1:15" x14ac:dyDescent="0.3">
      <c r="A41" s="8">
        <v>1977</v>
      </c>
      <c r="C41">
        <v>23.522800009838416</v>
      </c>
      <c r="D41">
        <v>23.758052241926368</v>
      </c>
      <c r="E41">
        <v>32.249547187446211</v>
      </c>
      <c r="F41">
        <v>23.693635536316016</v>
      </c>
      <c r="G41">
        <v>25.95367243033181</v>
      </c>
      <c r="I41">
        <v>124053.37131546889</v>
      </c>
      <c r="L41">
        <v>1268.5887312641289</v>
      </c>
      <c r="O41">
        <v>18.903778931057388</v>
      </c>
    </row>
    <row r="42" spans="1:15" x14ac:dyDescent="0.3">
      <c r="A42" s="8">
        <v>1978</v>
      </c>
      <c r="C42">
        <v>18.605779220779233</v>
      </c>
      <c r="D42">
        <v>16.714717572661186</v>
      </c>
      <c r="E42">
        <v>29.457311045213402</v>
      </c>
      <c r="F42">
        <v>16.868346165526368</v>
      </c>
      <c r="G42">
        <v>18.559873970596126</v>
      </c>
      <c r="I42">
        <v>341608.26784409239</v>
      </c>
      <c r="L42">
        <v>1242.7927080261775</v>
      </c>
      <c r="O42">
        <v>15.012850086639641</v>
      </c>
    </row>
    <row r="43" spans="1:15" x14ac:dyDescent="0.3">
      <c r="A43" s="8">
        <v>1979</v>
      </c>
      <c r="C43">
        <v>20.021607920342266</v>
      </c>
      <c r="D43">
        <v>15.638851460885315</v>
      </c>
      <c r="E43">
        <v>21.618294297229681</v>
      </c>
      <c r="F43">
        <v>15.680163831171297</v>
      </c>
      <c r="G43">
        <v>16.096169792423161</v>
      </c>
      <c r="I43">
        <v>886510.03915956104</v>
      </c>
      <c r="L43">
        <v>1448.8111932146996</v>
      </c>
      <c r="O43">
        <v>10.617392193238183</v>
      </c>
    </row>
    <row r="44" spans="1:15" x14ac:dyDescent="0.3">
      <c r="A44" s="8">
        <v>1980</v>
      </c>
      <c r="C44">
        <v>20.788896828267703</v>
      </c>
      <c r="D44">
        <v>19.124585339845616</v>
      </c>
      <c r="E44">
        <v>31.658611473507197</v>
      </c>
      <c r="F44">
        <v>18.681437968555269</v>
      </c>
      <c r="G44">
        <v>20.046841382526253</v>
      </c>
      <c r="I44">
        <v>1779802.935992691</v>
      </c>
      <c r="L44">
        <v>1605.7352896848824</v>
      </c>
      <c r="O44">
        <v>16.707113331013247</v>
      </c>
    </row>
    <row r="45" spans="1:15" x14ac:dyDescent="0.3">
      <c r="A45" s="8">
        <v>1981</v>
      </c>
      <c r="C45">
        <v>20.285063431823581</v>
      </c>
      <c r="D45">
        <v>21.963469693293604</v>
      </c>
      <c r="E45">
        <v>31.462557618627894</v>
      </c>
      <c r="F45">
        <v>18.490463996829217</v>
      </c>
      <c r="G45">
        <v>20.732358965519392</v>
      </c>
      <c r="I45">
        <v>3639219.3032873147</v>
      </c>
      <c r="L45">
        <v>1440.3852461508957</v>
      </c>
      <c r="O45">
        <v>17.189430860485086</v>
      </c>
    </row>
    <row r="46" spans="1:15" x14ac:dyDescent="0.3">
      <c r="A46" s="8">
        <v>1982</v>
      </c>
      <c r="C46">
        <v>22.107972904035886</v>
      </c>
      <c r="D46">
        <v>22.989796152881421</v>
      </c>
      <c r="E46">
        <v>29.813085776530887</v>
      </c>
      <c r="F46">
        <v>19.534056019168887</v>
      </c>
      <c r="G46">
        <v>24.990252882663384</v>
      </c>
      <c r="I46">
        <v>9636092.0571378935</v>
      </c>
      <c r="L46">
        <v>1288.9466877794191</v>
      </c>
      <c r="O46">
        <v>21.433362832706742</v>
      </c>
    </row>
    <row r="47" spans="1:15" x14ac:dyDescent="0.3">
      <c r="A47" s="8">
        <v>1983</v>
      </c>
      <c r="C47">
        <v>34.865168604846488</v>
      </c>
      <c r="D47">
        <v>38.051770036472234</v>
      </c>
      <c r="E47">
        <v>50.188972548105632</v>
      </c>
      <c r="F47">
        <v>31.44425824442472</v>
      </c>
      <c r="G47">
        <v>33.74048574662563</v>
      </c>
      <c r="I47">
        <v>42764908.9238232</v>
      </c>
      <c r="L47">
        <v>1667.6896814742131</v>
      </c>
      <c r="O47">
        <v>29.505351858637727</v>
      </c>
    </row>
    <row r="48" spans="1:15" x14ac:dyDescent="0.3">
      <c r="A48" s="8">
        <v>1984</v>
      </c>
      <c r="C48">
        <v>43.577499996304695</v>
      </c>
      <c r="D48">
        <v>50.309507986263576</v>
      </c>
      <c r="E48">
        <v>57.254309332226903</v>
      </c>
      <c r="F48">
        <v>37.412940955691013</v>
      </c>
      <c r="G48">
        <v>39.740771304709362</v>
      </c>
      <c r="I48">
        <v>310786583.01069242</v>
      </c>
      <c r="L48">
        <v>2028.1167294851605</v>
      </c>
      <c r="O48">
        <v>33.524625995973381</v>
      </c>
    </row>
    <row r="49" spans="1:15" x14ac:dyDescent="0.3">
      <c r="A49" s="8">
        <v>1985</v>
      </c>
      <c r="C49">
        <v>26.513625756627029</v>
      </c>
      <c r="D49">
        <v>39.144132514705262</v>
      </c>
      <c r="E49">
        <v>47.49488078450905</v>
      </c>
      <c r="F49">
        <v>32.359149545489679</v>
      </c>
      <c r="G49">
        <v>35.803833206783743</v>
      </c>
      <c r="I49">
        <v>2399832847.6102986</v>
      </c>
      <c r="L49">
        <v>1651.7108126231117</v>
      </c>
      <c r="O49">
        <v>28.601312824077976</v>
      </c>
    </row>
    <row r="50" spans="1:15" x14ac:dyDescent="0.3">
      <c r="A50" s="8">
        <v>1986</v>
      </c>
      <c r="C50">
        <v>25.479653934191663</v>
      </c>
      <c r="D50">
        <v>35.583654632233191</v>
      </c>
      <c r="E50">
        <v>41.73391592669325</v>
      </c>
      <c r="F50">
        <v>32.508523985003166</v>
      </c>
      <c r="G50">
        <v>36.022959010408911</v>
      </c>
      <c r="I50">
        <v>4561848457.6049433</v>
      </c>
      <c r="L50">
        <v>1731.1785297150643</v>
      </c>
      <c r="O50">
        <v>24.875610414200057</v>
      </c>
    </row>
    <row r="52" spans="1:15" ht="24.75" customHeight="1" x14ac:dyDescent="0.3"/>
    <row r="53" spans="1:15" ht="15.6" x14ac:dyDescent="0.3">
      <c r="A53" s="1" t="s">
        <v>16</v>
      </c>
    </row>
    <row r="55" spans="1:15" ht="15.6" x14ac:dyDescent="0.3">
      <c r="A55" s="1" t="s">
        <v>0</v>
      </c>
      <c r="O55" s="2" t="s">
        <v>1</v>
      </c>
    </row>
    <row r="57" spans="1:15" ht="39" customHeight="1" x14ac:dyDescent="0.3">
      <c r="A57" s="11" t="s">
        <v>2</v>
      </c>
      <c r="B57" s="12" t="s">
        <v>3</v>
      </c>
      <c r="C57" s="12" t="s">
        <v>4</v>
      </c>
      <c r="D57" s="12" t="s">
        <v>5</v>
      </c>
      <c r="E57" s="12" t="s">
        <v>6</v>
      </c>
      <c r="F57" s="12" t="s">
        <v>7</v>
      </c>
      <c r="G57" s="12" t="s">
        <v>8</v>
      </c>
      <c r="H57" s="13"/>
      <c r="I57" s="14" t="s">
        <v>9</v>
      </c>
      <c r="J57" s="13"/>
      <c r="K57" s="13"/>
      <c r="L57" s="15" t="s">
        <v>10</v>
      </c>
      <c r="M57" s="13"/>
      <c r="N57" s="13"/>
      <c r="O57" s="13" t="s">
        <v>11</v>
      </c>
    </row>
    <row r="58" spans="1:15" x14ac:dyDescent="0.3">
      <c r="A58" s="8">
        <v>1895</v>
      </c>
    </row>
    <row r="59" spans="1:15" x14ac:dyDescent="0.3">
      <c r="A59">
        <v>1910</v>
      </c>
    </row>
    <row r="60" spans="1:15" x14ac:dyDescent="0.3">
      <c r="A60" s="8">
        <v>1914</v>
      </c>
      <c r="B60" s="16">
        <f>(B8*100)/$B$34</f>
        <v>46.21974873542181</v>
      </c>
      <c r="C60" s="16">
        <f>(C8*100)/$C$34</f>
        <v>68.614376191005064</v>
      </c>
      <c r="D60" s="16">
        <f>(D8*100)/$D$34</f>
        <v>95.814710120673226</v>
      </c>
      <c r="E60" s="16">
        <f>(E8*100)/$E$34</f>
        <v>130.54146292583096</v>
      </c>
      <c r="F60" s="16"/>
      <c r="G60" s="16"/>
      <c r="H60" s="16"/>
      <c r="I60" s="16">
        <f>(I8*100)/$I$34</f>
        <v>0.31108228868945825</v>
      </c>
      <c r="J60" s="16"/>
      <c r="K60" s="16"/>
      <c r="L60" s="16">
        <f>(L8*100)/$L$34</f>
        <v>41.228710418486614</v>
      </c>
      <c r="M60" s="16"/>
      <c r="N60" s="16"/>
      <c r="O60" s="16">
        <f>(O8*100)/$O$34</f>
        <v>63.394577414353527</v>
      </c>
    </row>
    <row r="61" spans="1:15" x14ac:dyDescent="0.3">
      <c r="A61" s="8">
        <v>1915</v>
      </c>
      <c r="B61" s="16">
        <f t="shared" ref="B61:B86" si="0">(B9*100)/$B$34</f>
        <v>60.031011366742341</v>
      </c>
      <c r="C61" s="16">
        <f t="shared" ref="C61:C101" si="1">(C9*100)/$C$34</f>
        <v>63.655387110183412</v>
      </c>
      <c r="D61" s="16">
        <f>(D9*100)/$D$34</f>
        <v>88.889862477260593</v>
      </c>
      <c r="E61" s="16"/>
      <c r="F61" s="16">
        <f t="shared" ref="F61:F102" si="2">(F9*100)/$F$34</f>
        <v>50.164085552768597</v>
      </c>
      <c r="G61" s="16">
        <f t="shared" ref="G61:G102" si="3">(G9*100)/$G$34</f>
        <v>72.384827332817778</v>
      </c>
      <c r="H61" s="16"/>
      <c r="I61" s="16">
        <f t="shared" ref="I61:I102" si="4">(I9*100)/$I$34</f>
        <v>0.33531674460719224</v>
      </c>
      <c r="J61" s="16"/>
      <c r="K61" s="16"/>
      <c r="L61" s="16">
        <f t="shared" ref="L61:L102" si="5">(L9*100)/$L$34</f>
        <v>37.012477429872632</v>
      </c>
      <c r="M61" s="16"/>
      <c r="N61" s="16"/>
      <c r="O61" s="16">
        <f t="shared" ref="O61:O102" si="6">(O9*100)/$O$34</f>
        <v>41.612858875982688</v>
      </c>
    </row>
    <row r="62" spans="1:15" x14ac:dyDescent="0.3">
      <c r="A62" s="8">
        <v>1916</v>
      </c>
      <c r="B62" s="16">
        <f t="shared" si="0"/>
        <v>55.916278641482158</v>
      </c>
      <c r="C62" s="16">
        <f t="shared" si="1"/>
        <v>59.292227161382584</v>
      </c>
      <c r="D62" s="16">
        <f t="shared" ref="D61:D102" si="7">(D10*100)/$D$34</f>
        <v>82.797044486163159</v>
      </c>
      <c r="E62" s="16"/>
      <c r="F62" s="16">
        <f t="shared" si="2"/>
        <v>46.725665979996201</v>
      </c>
      <c r="G62" s="16">
        <f t="shared" si="3"/>
        <v>76.413097609519681</v>
      </c>
      <c r="H62" s="16"/>
      <c r="I62" s="16">
        <f t="shared" si="4"/>
        <v>0.35999182699615784</v>
      </c>
      <c r="J62" s="16"/>
      <c r="K62" s="16"/>
      <c r="L62" s="16">
        <f t="shared" si="5"/>
        <v>34.552297355635631</v>
      </c>
      <c r="M62" s="16"/>
      <c r="N62" s="16"/>
      <c r="O62" s="16">
        <f t="shared" si="6"/>
        <v>38.760569895499174</v>
      </c>
    </row>
    <row r="63" spans="1:15" x14ac:dyDescent="0.3">
      <c r="A63">
        <v>1923</v>
      </c>
      <c r="B63" s="16">
        <f t="shared" si="0"/>
        <v>50.218926721079036</v>
      </c>
      <c r="C63" s="16">
        <f t="shared" si="1"/>
        <v>49.700837473511875</v>
      </c>
      <c r="D63" s="16">
        <f t="shared" si="7"/>
        <v>69.403404936930883</v>
      </c>
      <c r="E63" s="16"/>
      <c r="F63" s="16"/>
      <c r="G63" s="16">
        <f t="shared" si="3"/>
        <v>65.936042271190203</v>
      </c>
      <c r="H63" s="16"/>
      <c r="I63" s="16">
        <f t="shared" si="4"/>
        <v>0.42946393396032861</v>
      </c>
      <c r="J63" s="16"/>
      <c r="K63" s="16"/>
      <c r="L63" s="16">
        <f t="shared" si="5"/>
        <v>52.197681367940149</v>
      </c>
      <c r="M63" s="16"/>
      <c r="N63" s="16"/>
      <c r="O63" s="16"/>
    </row>
    <row r="64" spans="1:15" x14ac:dyDescent="0.3">
      <c r="A64" s="8" t="s">
        <v>14</v>
      </c>
      <c r="B64" s="16">
        <f t="shared" si="0"/>
        <v>87.177820694581129</v>
      </c>
      <c r="C64" s="16">
        <f t="shared" si="1"/>
        <v>53.92402551857095</v>
      </c>
      <c r="D64" s="16">
        <f t="shared" si="7"/>
        <v>112.95114436117953</v>
      </c>
      <c r="E64" s="16">
        <f t="shared" ref="E64:E102" si="8">(E12*100)/$E$34</f>
        <v>131.09043135371942</v>
      </c>
      <c r="F64" s="16">
        <f t="shared" si="2"/>
        <v>95.614236164446766</v>
      </c>
      <c r="G64" s="16"/>
      <c r="H64" s="16"/>
      <c r="I64" s="16">
        <f t="shared" si="4"/>
        <v>0.39582944665632203</v>
      </c>
      <c r="J64" s="16"/>
      <c r="K64" s="16"/>
      <c r="L64" s="16">
        <f t="shared" si="5"/>
        <v>59.191083025644382</v>
      </c>
      <c r="M64" s="16"/>
      <c r="N64" s="16"/>
      <c r="O64" s="16"/>
    </row>
    <row r="65" spans="1:15" x14ac:dyDescent="0.3">
      <c r="A65" s="8">
        <v>1932</v>
      </c>
      <c r="B65" s="16">
        <f t="shared" si="0"/>
        <v>108.11975461200927</v>
      </c>
      <c r="C65" s="16">
        <f>(C13*100)/$C$34</f>
        <v>53.643514981907643</v>
      </c>
      <c r="D65" s="16">
        <f t="shared" si="7"/>
        <v>138.21657751158176</v>
      </c>
      <c r="E65" s="16">
        <f t="shared" si="8"/>
        <v>155.51234868568847</v>
      </c>
      <c r="F65" s="16">
        <f t="shared" si="2"/>
        <v>118.58277333786656</v>
      </c>
      <c r="G65" s="16"/>
      <c r="H65" s="16"/>
      <c r="I65" s="16">
        <f t="shared" si="4"/>
        <v>0.3191604406620363</v>
      </c>
      <c r="J65" s="16"/>
      <c r="K65" s="16"/>
      <c r="L65" s="16">
        <f t="shared" si="5"/>
        <v>63.135776772312013</v>
      </c>
      <c r="M65" s="16"/>
      <c r="N65" s="16"/>
      <c r="O65" s="16"/>
    </row>
    <row r="66" spans="1:15" ht="15" customHeight="1" x14ac:dyDescent="0.3">
      <c r="A66" s="8">
        <v>1933</v>
      </c>
      <c r="B66" s="16">
        <f t="shared" si="0"/>
        <v>86.270829904001033</v>
      </c>
      <c r="C66" s="16">
        <f t="shared" si="1"/>
        <v>53.363004445244336</v>
      </c>
      <c r="D66" s="16">
        <f t="shared" si="7"/>
        <v>111.77601005632027</v>
      </c>
      <c r="E66" s="16">
        <f t="shared" si="8"/>
        <v>135.11618401473726</v>
      </c>
      <c r="F66" s="16">
        <f t="shared" si="2"/>
        <v>99.876111032241909</v>
      </c>
      <c r="G66" s="16"/>
      <c r="H66" s="16"/>
      <c r="I66" s="16">
        <f t="shared" si="4"/>
        <v>0.35999182699615784</v>
      </c>
      <c r="J66" s="16"/>
      <c r="K66" s="16"/>
      <c r="L66" s="16">
        <f t="shared" si="5"/>
        <v>58.354991089517959</v>
      </c>
      <c r="M66" s="16"/>
      <c r="N66" s="16"/>
      <c r="O66" s="16"/>
    </row>
    <row r="67" spans="1:15" x14ac:dyDescent="0.3">
      <c r="A67">
        <v>1945</v>
      </c>
      <c r="B67" s="16"/>
      <c r="C67" s="16">
        <f t="shared" si="1"/>
        <v>50.358157241426078</v>
      </c>
      <c r="D67" s="16">
        <f t="shared" si="7"/>
        <v>76.181410004695849</v>
      </c>
      <c r="E67" s="16"/>
      <c r="F67" s="16"/>
      <c r="G67" s="16"/>
      <c r="H67" s="16"/>
      <c r="I67" s="16">
        <f t="shared" si="4"/>
        <v>0.50862982329159301</v>
      </c>
      <c r="J67" s="16"/>
      <c r="K67" s="16"/>
      <c r="L67" s="16">
        <f t="shared" si="5"/>
        <v>66.191545697135737</v>
      </c>
      <c r="M67" s="16"/>
      <c r="N67" s="16"/>
      <c r="O67" s="16"/>
    </row>
    <row r="68" spans="1:15" x14ac:dyDescent="0.3">
      <c r="A68" s="8">
        <v>1952</v>
      </c>
      <c r="B68" s="16">
        <f t="shared" si="0"/>
        <v>124.86406609900945</v>
      </c>
      <c r="C68" s="16">
        <f t="shared" si="1"/>
        <v>115.85239857505479</v>
      </c>
      <c r="D68" s="16"/>
      <c r="E68" s="16"/>
      <c r="F68" s="16">
        <f t="shared" si="2"/>
        <v>172.02750888998747</v>
      </c>
      <c r="G68" s="16"/>
      <c r="H68" s="16"/>
      <c r="I68" s="16">
        <f t="shared" si="4"/>
        <v>1.9575565361912652</v>
      </c>
      <c r="J68" s="16"/>
      <c r="K68" s="16"/>
      <c r="L68" s="16">
        <f t="shared" si="5"/>
        <v>79.021266420259394</v>
      </c>
      <c r="M68" s="16"/>
      <c r="N68" s="16"/>
      <c r="O68" s="16">
        <f t="shared" si="6"/>
        <v>114.04820745962603</v>
      </c>
    </row>
    <row r="69" spans="1:15" x14ac:dyDescent="0.3">
      <c r="A69" s="8">
        <v>1953</v>
      </c>
      <c r="B69" s="16">
        <f t="shared" si="0"/>
        <v>98.020277592625618</v>
      </c>
      <c r="C69" s="16">
        <f t="shared" si="1"/>
        <v>90.94597527437449</v>
      </c>
      <c r="D69" s="16"/>
      <c r="E69" s="16"/>
      <c r="F69" s="16">
        <f t="shared" si="2"/>
        <v>135.04433022062392</v>
      </c>
      <c r="G69" s="16"/>
      <c r="H69" s="16"/>
      <c r="I69" s="16">
        <f t="shared" si="4"/>
        <v>2.4936520761896239</v>
      </c>
      <c r="J69" s="16"/>
      <c r="K69" s="16"/>
      <c r="L69" s="16">
        <f t="shared" si="5"/>
        <v>82.653907435586817</v>
      </c>
      <c r="M69" s="16"/>
      <c r="N69" s="16"/>
      <c r="O69" s="16">
        <f t="shared" si="6"/>
        <v>89.529656556832094</v>
      </c>
    </row>
    <row r="70" spans="1:15" x14ac:dyDescent="0.3">
      <c r="A70" s="8">
        <v>1954</v>
      </c>
      <c r="B70" s="16">
        <f t="shared" si="0"/>
        <v>108.32606074915766</v>
      </c>
      <c r="C70" s="16">
        <f t="shared" si="1"/>
        <v>101.02339674632404</v>
      </c>
      <c r="D70" s="16"/>
      <c r="E70" s="16"/>
      <c r="F70" s="16">
        <f t="shared" si="2"/>
        <v>154.93511737808313</v>
      </c>
      <c r="G70" s="16"/>
      <c r="H70" s="16"/>
      <c r="I70" s="16">
        <f t="shared" si="4"/>
        <v>2.5882398920139917</v>
      </c>
      <c r="J70" s="16"/>
      <c r="K70" s="16"/>
      <c r="L70" s="16">
        <f t="shared" si="5"/>
        <v>91.163647101636769</v>
      </c>
      <c r="M70" s="16"/>
      <c r="N70" s="16"/>
      <c r="O70" s="16">
        <f t="shared" si="6"/>
        <v>109.61925558290731</v>
      </c>
    </row>
    <row r="71" spans="1:15" x14ac:dyDescent="0.3">
      <c r="A71" s="8">
        <v>1955</v>
      </c>
      <c r="B71" s="16">
        <f t="shared" si="0"/>
        <v>96.449163425710196</v>
      </c>
      <c r="C71" s="16">
        <f t="shared" si="1"/>
        <v>89.947165393276151</v>
      </c>
      <c r="D71" s="16"/>
      <c r="E71" s="16"/>
      <c r="F71" s="16">
        <f t="shared" si="2"/>
        <v>137.94799102852573</v>
      </c>
      <c r="G71" s="16"/>
      <c r="H71" s="16"/>
      <c r="I71" s="16">
        <f t="shared" si="4"/>
        <v>2.9069597062047965</v>
      </c>
      <c r="J71" s="16"/>
      <c r="K71" s="16"/>
      <c r="L71" s="16">
        <f t="shared" si="5"/>
        <v>88.478892342411669</v>
      </c>
      <c r="M71" s="16"/>
      <c r="N71" s="16"/>
      <c r="O71" s="16">
        <f t="shared" si="6"/>
        <v>97.600572043350468</v>
      </c>
    </row>
    <row r="72" spans="1:15" x14ac:dyDescent="0.3">
      <c r="A72" s="8">
        <v>1956</v>
      </c>
      <c r="B72" s="16">
        <f t="shared" si="0"/>
        <v>124.29665387669371</v>
      </c>
      <c r="C72" s="16">
        <f t="shared" si="1"/>
        <v>123.01433336355811</v>
      </c>
      <c r="D72" s="16"/>
      <c r="E72" s="16"/>
      <c r="F72" s="16">
        <f t="shared" si="2"/>
        <v>166.58774075109565</v>
      </c>
      <c r="G72" s="16"/>
      <c r="H72" s="16"/>
      <c r="I72" s="16">
        <f t="shared" si="4"/>
        <v>3.2967672577542881</v>
      </c>
      <c r="J72" s="16"/>
      <c r="K72" s="16"/>
      <c r="L72" s="16">
        <f t="shared" si="5"/>
        <v>95.859985504020386</v>
      </c>
      <c r="M72" s="16"/>
      <c r="N72" s="16"/>
      <c r="O72" s="16">
        <f t="shared" si="6"/>
        <v>117.94499850959942</v>
      </c>
    </row>
    <row r="73" spans="1:15" x14ac:dyDescent="0.3">
      <c r="A73" s="8">
        <v>1957</v>
      </c>
      <c r="B73" s="16">
        <f t="shared" si="0"/>
        <v>99.659321054340651</v>
      </c>
      <c r="C73" s="16">
        <f t="shared" si="1"/>
        <v>98.631174376796793</v>
      </c>
      <c r="D73" s="16"/>
      <c r="E73" s="16"/>
      <c r="F73" s="16">
        <f t="shared" si="2"/>
        <v>133.56772383993902</v>
      </c>
      <c r="G73" s="16"/>
      <c r="H73" s="16"/>
      <c r="I73" s="16">
        <f t="shared" si="4"/>
        <v>4.1117793540422021</v>
      </c>
      <c r="J73" s="16"/>
      <c r="K73" s="16"/>
      <c r="L73" s="16">
        <f t="shared" si="5"/>
        <v>93.077538933842021</v>
      </c>
      <c r="M73" s="16"/>
      <c r="N73" s="16"/>
      <c r="O73" s="16">
        <f t="shared" si="6"/>
        <v>94.566652493176207</v>
      </c>
    </row>
    <row r="74" spans="1:15" x14ac:dyDescent="0.3">
      <c r="A74" s="8">
        <v>1958</v>
      </c>
      <c r="B74" s="16">
        <f t="shared" si="0"/>
        <v>154.13776777212939</v>
      </c>
      <c r="C74" s="16">
        <f t="shared" si="1"/>
        <v>165.69824216655033</v>
      </c>
      <c r="D74" s="16"/>
      <c r="E74" s="16"/>
      <c r="F74" s="16">
        <f t="shared" si="2"/>
        <v>216.66901628623324</v>
      </c>
      <c r="G74" s="16"/>
      <c r="H74" s="16"/>
      <c r="I74" s="16">
        <f t="shared" si="4"/>
        <v>5.4103055647615133</v>
      </c>
      <c r="J74" s="16"/>
      <c r="K74" s="16"/>
      <c r="L74" s="16">
        <f t="shared" si="5"/>
        <v>99.582381992344679</v>
      </c>
      <c r="M74" s="16"/>
      <c r="N74" s="16"/>
      <c r="O74" s="16">
        <f t="shared" si="6"/>
        <v>170.01146099387037</v>
      </c>
    </row>
    <row r="75" spans="1:15" x14ac:dyDescent="0.3">
      <c r="A75" s="8">
        <v>1959</v>
      </c>
      <c r="B75" s="16">
        <f t="shared" si="0"/>
        <v>72.12951222295257</v>
      </c>
      <c r="C75" s="16">
        <f t="shared" si="1"/>
        <v>77.539292001055003</v>
      </c>
      <c r="D75" s="16"/>
      <c r="E75" s="16"/>
      <c r="F75" s="16">
        <f t="shared" si="2"/>
        <v>129.12152266195545</v>
      </c>
      <c r="G75" s="16"/>
      <c r="H75" s="16"/>
      <c r="I75" s="16">
        <f t="shared" si="4"/>
        <v>11.561597978644045</v>
      </c>
      <c r="J75" s="16"/>
      <c r="K75" s="16"/>
      <c r="L75" s="16">
        <f t="shared" si="5"/>
        <v>74.113541616869298</v>
      </c>
      <c r="M75" s="16"/>
      <c r="N75" s="16"/>
      <c r="O75" s="16">
        <f t="shared" si="6"/>
        <v>115.02393246787553</v>
      </c>
    </row>
    <row r="76" spans="1:15" x14ac:dyDescent="0.3">
      <c r="A76" s="8">
        <v>1960</v>
      </c>
      <c r="B76" s="16">
        <f t="shared" si="0"/>
        <v>84.262870497744743</v>
      </c>
      <c r="C76" s="16">
        <f t="shared" si="1"/>
        <v>83.393563046860862</v>
      </c>
      <c r="D76" s="16"/>
      <c r="E76" s="16"/>
      <c r="F76" s="16">
        <f t="shared" si="2"/>
        <v>119.72268633812379</v>
      </c>
      <c r="G76" s="16"/>
      <c r="H76" s="16"/>
      <c r="I76" s="16">
        <f t="shared" si="4"/>
        <v>14.717217890113835</v>
      </c>
      <c r="J76" s="16"/>
      <c r="K76" s="16"/>
      <c r="L76" s="16">
        <f t="shared" si="5"/>
        <v>75.709686441708996</v>
      </c>
      <c r="M76" s="16"/>
      <c r="N76" s="16"/>
      <c r="O76" s="16">
        <f t="shared" si="6"/>
        <v>99.298342917032514</v>
      </c>
    </row>
    <row r="77" spans="1:15" x14ac:dyDescent="0.3">
      <c r="A77" s="8">
        <v>1961</v>
      </c>
      <c r="B77" s="16">
        <f t="shared" si="0"/>
        <v>89.503028358268779</v>
      </c>
      <c r="C77" s="16">
        <f t="shared" si="1"/>
        <v>91.986570233738362</v>
      </c>
      <c r="D77" s="16"/>
      <c r="E77" s="16"/>
      <c r="F77" s="16">
        <f t="shared" si="2"/>
        <v>126.35527925872712</v>
      </c>
      <c r="G77" s="16"/>
      <c r="H77" s="16"/>
      <c r="I77" s="16">
        <f t="shared" si="4"/>
        <v>16.707000089629837</v>
      </c>
      <c r="J77" s="16"/>
      <c r="K77" s="16"/>
      <c r="L77" s="16">
        <f t="shared" si="5"/>
        <v>84.248395980547926</v>
      </c>
      <c r="M77" s="16"/>
      <c r="N77" s="16"/>
      <c r="O77" s="16">
        <f t="shared" si="6"/>
        <v>87.472038127557582</v>
      </c>
    </row>
    <row r="78" spans="1:15" x14ac:dyDescent="0.3">
      <c r="A78" s="8">
        <v>1962</v>
      </c>
      <c r="B78" s="16">
        <f t="shared" si="0"/>
        <v>108.53514890295109</v>
      </c>
      <c r="C78" s="16">
        <f t="shared" si="1"/>
        <v>109.74332239867402</v>
      </c>
      <c r="D78" s="16"/>
      <c r="E78" s="16"/>
      <c r="F78" s="16">
        <f t="shared" si="2"/>
        <v>126.97425746341882</v>
      </c>
      <c r="G78" s="16"/>
      <c r="H78" s="16"/>
      <c r="I78" s="16">
        <f t="shared" si="4"/>
        <v>21.394640136237346</v>
      </c>
      <c r="J78" s="16"/>
      <c r="K78" s="16"/>
      <c r="L78" s="16">
        <f t="shared" si="5"/>
        <v>82.348457323485093</v>
      </c>
      <c r="M78" s="16"/>
      <c r="N78" s="16"/>
      <c r="O78" s="16">
        <f t="shared" si="6"/>
        <v>86.959402188209339</v>
      </c>
    </row>
    <row r="79" spans="1:15" x14ac:dyDescent="0.3">
      <c r="A79" s="8">
        <v>1963</v>
      </c>
      <c r="B79" s="16">
        <f t="shared" si="0"/>
        <v>96.434380228375019</v>
      </c>
      <c r="C79" s="16">
        <f t="shared" si="1"/>
        <v>97.316123479297005</v>
      </c>
      <c r="D79" s="16"/>
      <c r="E79" s="16"/>
      <c r="F79" s="16">
        <f t="shared" si="2"/>
        <v>124.54311431281168</v>
      </c>
      <c r="G79" s="16"/>
      <c r="H79" s="16"/>
      <c r="I79" s="16">
        <f t="shared" si="4"/>
        <v>26.539392309760697</v>
      </c>
      <c r="J79" s="16"/>
      <c r="K79" s="16"/>
      <c r="L79" s="16">
        <f t="shared" si="5"/>
        <v>84.195992473634433</v>
      </c>
      <c r="M79" s="16"/>
      <c r="N79" s="16"/>
      <c r="O79" s="16">
        <f t="shared" si="6"/>
        <v>77.112226384863661</v>
      </c>
    </row>
    <row r="80" spans="1:15" x14ac:dyDescent="0.3">
      <c r="A80" s="8">
        <v>1964</v>
      </c>
      <c r="B80" s="16">
        <f t="shared" si="0"/>
        <v>102.67218047533738</v>
      </c>
      <c r="C80" s="16">
        <f t="shared" si="1"/>
        <v>103.36868263202724</v>
      </c>
      <c r="D80" s="16">
        <f t="shared" si="7"/>
        <v>108.02997271948531</v>
      </c>
      <c r="E80" s="16">
        <f t="shared" si="8"/>
        <v>117.7819817771596</v>
      </c>
      <c r="F80" s="16">
        <f t="shared" si="2"/>
        <v>116.2238034438346</v>
      </c>
      <c r="G80" s="16">
        <f t="shared" si="3"/>
        <v>118.0433685589355</v>
      </c>
      <c r="H80" s="16"/>
      <c r="I80" s="16">
        <f t="shared" si="4"/>
        <v>32.419109079501673</v>
      </c>
      <c r="J80" s="16"/>
      <c r="K80" s="16"/>
      <c r="L80" s="16">
        <f t="shared" si="5"/>
        <v>93.157916312910999</v>
      </c>
      <c r="M80" s="16"/>
      <c r="N80" s="16"/>
      <c r="O80" s="16">
        <f t="shared" si="6"/>
        <v>86.081874353022826</v>
      </c>
    </row>
    <row r="81" spans="1:15" x14ac:dyDescent="0.3">
      <c r="A81" s="8">
        <v>1965</v>
      </c>
      <c r="B81" s="16">
        <f t="shared" si="0"/>
        <v>107.77233567891989</v>
      </c>
      <c r="C81" s="16">
        <f t="shared" si="1"/>
        <v>108.53771479369234</v>
      </c>
      <c r="D81" s="16">
        <f t="shared" si="7"/>
        <v>117.60554140748786</v>
      </c>
      <c r="E81" s="16">
        <f t="shared" si="8"/>
        <v>129.33127661273315</v>
      </c>
      <c r="F81" s="16">
        <f t="shared" si="2"/>
        <v>128.30088994325871</v>
      </c>
      <c r="G81" s="16">
        <f t="shared" si="3"/>
        <v>129.82611309223765</v>
      </c>
      <c r="H81" s="16"/>
      <c r="I81" s="16">
        <f t="shared" si="4"/>
        <v>41.691314869588609</v>
      </c>
      <c r="J81" s="16"/>
      <c r="K81" s="16"/>
      <c r="L81" s="16">
        <f t="shared" si="5"/>
        <v>100.77150889467016</v>
      </c>
      <c r="M81" s="16"/>
      <c r="N81" s="16"/>
      <c r="O81" s="16">
        <f t="shared" si="6"/>
        <v>107.09943529094137</v>
      </c>
    </row>
    <row r="82" spans="1:15" x14ac:dyDescent="0.3">
      <c r="A82" s="8">
        <v>1966</v>
      </c>
      <c r="B82" s="16">
        <f t="shared" si="0"/>
        <v>109.05424667449718</v>
      </c>
      <c r="C82" s="16">
        <f t="shared" si="1"/>
        <v>109.773289804122</v>
      </c>
      <c r="D82" s="16">
        <f t="shared" si="7"/>
        <v>118.59303911597762</v>
      </c>
      <c r="E82" s="16">
        <f t="shared" si="8"/>
        <v>126.38793951440941</v>
      </c>
      <c r="F82" s="16">
        <f t="shared" si="2"/>
        <v>126.66369225782582</v>
      </c>
      <c r="G82" s="16">
        <f t="shared" si="3"/>
        <v>126.70342132503534</v>
      </c>
      <c r="H82" s="16"/>
      <c r="I82" s="16">
        <f t="shared" si="4"/>
        <v>54.978936990230359</v>
      </c>
      <c r="J82" s="16"/>
      <c r="K82" s="16"/>
      <c r="L82" s="16">
        <f t="shared" si="5"/>
        <v>101.87781086586143</v>
      </c>
      <c r="M82" s="16"/>
      <c r="N82" s="16"/>
      <c r="O82" s="16">
        <f t="shared" si="6"/>
        <v>115.05463258543685</v>
      </c>
    </row>
    <row r="83" spans="1:15" x14ac:dyDescent="0.3">
      <c r="A83" s="8">
        <v>1967</v>
      </c>
      <c r="B83" s="16">
        <f t="shared" si="0"/>
        <v>113.13074384930235</v>
      </c>
      <c r="C83" s="16">
        <f t="shared" si="1"/>
        <v>113.86639833513087</v>
      </c>
      <c r="D83" s="16">
        <f t="shared" si="7"/>
        <v>111.912313230262</v>
      </c>
      <c r="E83" s="16">
        <f t="shared" si="8"/>
        <v>114.31934451068683</v>
      </c>
      <c r="F83" s="16">
        <f t="shared" si="2"/>
        <v>121.57787774420547</v>
      </c>
      <c r="G83" s="16">
        <f t="shared" si="3"/>
        <v>121.50997116101263</v>
      </c>
      <c r="H83" s="16"/>
      <c r="I83" s="16">
        <f t="shared" si="4"/>
        <v>71.045083803889952</v>
      </c>
      <c r="J83" s="16"/>
      <c r="K83" s="16"/>
      <c r="L83" s="16">
        <f t="shared" si="5"/>
        <v>101.82954555657044</v>
      </c>
      <c r="M83" s="16"/>
      <c r="N83" s="16"/>
      <c r="O83" s="16">
        <f t="shared" si="6"/>
        <v>111.19045063732339</v>
      </c>
    </row>
    <row r="84" spans="1:15" x14ac:dyDescent="0.3">
      <c r="A84" s="8">
        <v>1968</v>
      </c>
      <c r="B84" s="16">
        <f t="shared" si="0"/>
        <v>97.338490216715883</v>
      </c>
      <c r="C84" s="16">
        <f t="shared" si="1"/>
        <v>97.971452526829296</v>
      </c>
      <c r="D84" s="16">
        <f t="shared" si="7"/>
        <v>96.290143915296795</v>
      </c>
      <c r="E84" s="16">
        <f t="shared" si="8"/>
        <v>98.36117061209869</v>
      </c>
      <c r="F84" s="16">
        <f t="shared" si="2"/>
        <v>104.60646381974975</v>
      </c>
      <c r="G84" s="16">
        <f t="shared" si="3"/>
        <v>104.54803651644684</v>
      </c>
      <c r="H84" s="16"/>
      <c r="I84" s="16">
        <f t="shared" si="4"/>
        <v>82.571479788473624</v>
      </c>
      <c r="J84" s="16"/>
      <c r="K84" s="16"/>
      <c r="L84" s="16">
        <f t="shared" si="5"/>
        <v>94.256341017170811</v>
      </c>
      <c r="M84" s="16"/>
      <c r="N84" s="16"/>
      <c r="O84" s="16">
        <f t="shared" si="6"/>
        <v>95.669048247136374</v>
      </c>
    </row>
    <row r="85" spans="1:15" x14ac:dyDescent="0.3">
      <c r="A85" s="8">
        <v>1969</v>
      </c>
      <c r="B85" s="16">
        <f t="shared" si="0"/>
        <v>104.4034298021565</v>
      </c>
      <c r="C85" s="16">
        <f t="shared" si="1"/>
        <v>102.40825457732646</v>
      </c>
      <c r="D85" s="16">
        <f t="shared" si="7"/>
        <v>111.18746965040556</v>
      </c>
      <c r="E85" s="16">
        <f t="shared" si="8"/>
        <v>110.42536729667901</v>
      </c>
      <c r="F85" s="16">
        <f t="shared" si="2"/>
        <v>108.82155043529342</v>
      </c>
      <c r="G85" s="16">
        <f t="shared" si="3"/>
        <v>109.42891368502286</v>
      </c>
      <c r="H85" s="16"/>
      <c r="I85" s="16">
        <f t="shared" si="4"/>
        <v>85.246930178363357</v>
      </c>
      <c r="J85" s="16"/>
      <c r="K85" s="16"/>
      <c r="L85" s="16">
        <f t="shared" si="5"/>
        <v>96.698638260536953</v>
      </c>
      <c r="M85" s="16"/>
      <c r="N85" s="16"/>
      <c r="O85" s="16">
        <f t="shared" si="6"/>
        <v>112.46780222655285</v>
      </c>
    </row>
    <row r="86" spans="1:15" x14ac:dyDescent="0.3">
      <c r="A86" s="8">
        <v>1970</v>
      </c>
      <c r="B86" s="16">
        <f t="shared" si="0"/>
        <v>100</v>
      </c>
      <c r="C86" s="16">
        <f t="shared" si="1"/>
        <v>100</v>
      </c>
      <c r="D86" s="16">
        <f t="shared" si="7"/>
        <v>100</v>
      </c>
      <c r="E86" s="16">
        <f t="shared" si="8"/>
        <v>100</v>
      </c>
      <c r="F86" s="16">
        <f t="shared" si="2"/>
        <v>100</v>
      </c>
      <c r="G86" s="16">
        <f t="shared" si="3"/>
        <v>100</v>
      </c>
      <c r="H86" s="16"/>
      <c r="I86" s="16">
        <f t="shared" si="4"/>
        <v>99.999999999999986</v>
      </c>
      <c r="J86" s="16"/>
      <c r="K86" s="16"/>
      <c r="L86" s="16">
        <f t="shared" si="5"/>
        <v>100</v>
      </c>
      <c r="M86" s="16"/>
      <c r="N86" s="16"/>
      <c r="O86" s="16">
        <f t="shared" si="6"/>
        <v>100</v>
      </c>
    </row>
    <row r="87" spans="1:15" x14ac:dyDescent="0.3">
      <c r="A87" s="8">
        <v>1971</v>
      </c>
      <c r="B87" s="16"/>
      <c r="C87" s="16">
        <f t="shared" si="1"/>
        <v>97.407149635701259</v>
      </c>
      <c r="D87" s="16">
        <f t="shared" si="7"/>
        <v>94.628494972601601</v>
      </c>
      <c r="E87" s="16">
        <f t="shared" si="8"/>
        <v>87.601825233063806</v>
      </c>
      <c r="F87" s="16">
        <f t="shared" si="2"/>
        <v>112.31258731283134</v>
      </c>
      <c r="G87" s="16">
        <f t="shared" si="3"/>
        <v>114.17309903629699</v>
      </c>
      <c r="H87" s="16"/>
      <c r="I87" s="16">
        <f t="shared" si="4"/>
        <v>135.9146724029757</v>
      </c>
      <c r="J87" s="16"/>
      <c r="K87" s="16"/>
      <c r="L87" s="16">
        <f t="shared" si="5"/>
        <v>104.10665427134819</v>
      </c>
      <c r="M87" s="16"/>
      <c r="N87" s="16"/>
      <c r="O87" s="16">
        <f t="shared" si="6"/>
        <v>135.51594044646745</v>
      </c>
    </row>
    <row r="88" spans="1:15" x14ac:dyDescent="0.3">
      <c r="A88" s="8">
        <v>1972</v>
      </c>
      <c r="B88" s="16"/>
      <c r="C88" s="16">
        <f t="shared" si="1"/>
        <v>90.505244911310172</v>
      </c>
      <c r="D88" s="16">
        <f t="shared" si="7"/>
        <v>86.285455401314692</v>
      </c>
      <c r="E88" s="16">
        <f t="shared" si="8"/>
        <v>75.523165135515185</v>
      </c>
      <c r="F88" s="16">
        <f t="shared" si="2"/>
        <v>98.950596867456468</v>
      </c>
      <c r="G88" s="16">
        <f t="shared" si="3"/>
        <v>93.985855059816018</v>
      </c>
      <c r="H88" s="16"/>
      <c r="I88" s="16">
        <f t="shared" si="4"/>
        <v>215.3804786232858</v>
      </c>
      <c r="J88" s="16"/>
      <c r="K88" s="16"/>
      <c r="L88" s="16">
        <f t="shared" si="5"/>
        <v>96.758235675604695</v>
      </c>
      <c r="M88" s="16"/>
      <c r="N88" s="16"/>
      <c r="O88" s="16">
        <f t="shared" si="6"/>
        <v>124.47415149667567</v>
      </c>
    </row>
    <row r="89" spans="1:15" x14ac:dyDescent="0.3">
      <c r="A89" s="8">
        <v>1973</v>
      </c>
      <c r="B89" s="16"/>
      <c r="C89" s="16">
        <f t="shared" si="1"/>
        <v>98.279622942965347</v>
      </c>
      <c r="D89" s="16">
        <f t="shared" si="7"/>
        <v>95.370866595430783</v>
      </c>
      <c r="E89" s="16">
        <f t="shared" si="8"/>
        <v>99.712598144095736</v>
      </c>
      <c r="F89" s="16">
        <f t="shared" si="2"/>
        <v>80.994222017966507</v>
      </c>
      <c r="G89" s="16">
        <f t="shared" si="3"/>
        <v>77.070760761642518</v>
      </c>
      <c r="H89" s="16"/>
      <c r="I89" s="16">
        <f t="shared" si="4"/>
        <v>345.26754503898894</v>
      </c>
      <c r="J89" s="16"/>
      <c r="K89" s="16"/>
      <c r="L89" s="16">
        <f t="shared" si="5"/>
        <v>104.28503471279633</v>
      </c>
      <c r="M89" s="16"/>
      <c r="N89" s="16"/>
      <c r="O89" s="16">
        <f t="shared" si="6"/>
        <v>162.03140680423408</v>
      </c>
    </row>
    <row r="90" spans="1:15" x14ac:dyDescent="0.3">
      <c r="A90" s="8">
        <v>1974</v>
      </c>
      <c r="B90" s="16"/>
      <c r="C90" s="16">
        <f t="shared" si="1"/>
        <v>94.0876404719926</v>
      </c>
      <c r="D90" s="16">
        <f t="shared" si="7"/>
        <v>123.65450434246365</v>
      </c>
      <c r="E90" s="16">
        <f t="shared" si="8"/>
        <v>95.804588860776519</v>
      </c>
      <c r="F90" s="16">
        <f t="shared" si="2"/>
        <v>80.480559781276128</v>
      </c>
      <c r="G90" s="16">
        <f t="shared" si="3"/>
        <v>76.665631879558902</v>
      </c>
      <c r="H90" s="16"/>
      <c r="I90" s="16">
        <f t="shared" si="4"/>
        <v>428.87873084162402</v>
      </c>
      <c r="J90" s="16"/>
      <c r="K90" s="16"/>
      <c r="L90" s="16">
        <f t="shared" si="5"/>
        <v>115.39661885126597</v>
      </c>
      <c r="M90" s="16"/>
      <c r="N90" s="16"/>
      <c r="O90" s="16">
        <f t="shared" si="6"/>
        <v>153.00037034336958</v>
      </c>
    </row>
    <row r="91" spans="1:15" x14ac:dyDescent="0.3">
      <c r="A91" s="8">
        <v>1975</v>
      </c>
      <c r="B91" s="16"/>
      <c r="C91" s="16">
        <f t="shared" si="1"/>
        <v>81.38312939110763</v>
      </c>
      <c r="D91" s="16">
        <f t="shared" si="7"/>
        <v>163.71189871158973</v>
      </c>
      <c r="E91" s="16">
        <f t="shared" si="8"/>
        <v>100.6045211305828</v>
      </c>
      <c r="F91" s="16">
        <f t="shared" si="2"/>
        <v>103.66253293773859</v>
      </c>
      <c r="G91" s="16">
        <f t="shared" si="3"/>
        <v>115.25219935562109</v>
      </c>
      <c r="H91" s="16"/>
      <c r="I91" s="16">
        <f t="shared" si="4"/>
        <v>1212.691583759075</v>
      </c>
      <c r="J91" s="16"/>
      <c r="K91" s="16"/>
      <c r="L91" s="16">
        <f t="shared" si="5"/>
        <v>110.88845269423888</v>
      </c>
      <c r="M91" s="16"/>
      <c r="N91" s="16"/>
      <c r="O91" s="16">
        <f t="shared" si="6"/>
        <v>77.375450935904709</v>
      </c>
    </row>
    <row r="92" spans="1:15" x14ac:dyDescent="0.3">
      <c r="A92" s="8">
        <v>1976</v>
      </c>
      <c r="B92" s="16"/>
      <c r="C92" s="16">
        <f t="shared" si="1"/>
        <v>45.995635148871521</v>
      </c>
      <c r="D92" s="16">
        <f t="shared" si="7"/>
        <v>69.738718334898707</v>
      </c>
      <c r="E92" s="16">
        <f t="shared" si="8"/>
        <v>43.915709100254219</v>
      </c>
      <c r="F92" s="16">
        <f t="shared" si="2"/>
        <v>78.349359231802566</v>
      </c>
      <c r="G92" s="16">
        <f t="shared" si="3"/>
        <v>88.193338877289548</v>
      </c>
      <c r="H92" s="16"/>
      <c r="I92" s="16">
        <f t="shared" si="4"/>
        <v>6597.6516984852542</v>
      </c>
      <c r="J92" s="16"/>
      <c r="K92" s="16"/>
      <c r="L92" s="16">
        <f t="shared" si="5"/>
        <v>72.635546160434856</v>
      </c>
      <c r="M92" s="16"/>
      <c r="N92" s="16"/>
      <c r="O92" s="16">
        <f t="shared" si="6"/>
        <v>65.128176341055791</v>
      </c>
    </row>
    <row r="93" spans="1:15" x14ac:dyDescent="0.3">
      <c r="A93" s="8">
        <v>1977</v>
      </c>
      <c r="B93" s="16"/>
      <c r="C93" s="16">
        <f t="shared" si="1"/>
        <v>34.11565401146364</v>
      </c>
      <c r="D93" s="16">
        <f t="shared" si="7"/>
        <v>48.116340412744513</v>
      </c>
      <c r="E93" s="16">
        <f t="shared" si="8"/>
        <v>49.436664045173103</v>
      </c>
      <c r="F93" s="16">
        <f t="shared" si="2"/>
        <v>54.160681537454622</v>
      </c>
      <c r="G93" s="16">
        <f t="shared" si="3"/>
        <v>57.070886657523964</v>
      </c>
      <c r="H93" s="16"/>
      <c r="I93" s="16">
        <f t="shared" si="4"/>
        <v>18220.399749036475</v>
      </c>
      <c r="J93" s="16"/>
      <c r="K93" s="16"/>
      <c r="L93" s="16">
        <f t="shared" si="5"/>
        <v>69.299889001148571</v>
      </c>
      <c r="M93" s="16"/>
      <c r="N93" s="16"/>
      <c r="O93" s="16">
        <f t="shared" si="6"/>
        <v>47.794116428361832</v>
      </c>
    </row>
    <row r="94" spans="1:15" x14ac:dyDescent="0.3">
      <c r="A94" s="8">
        <v>1978</v>
      </c>
      <c r="B94" s="16"/>
      <c r="C94" s="16">
        <f t="shared" si="1"/>
        <v>26.984386477983076</v>
      </c>
      <c r="D94" s="16">
        <f t="shared" si="7"/>
        <v>33.85172456224204</v>
      </c>
      <c r="E94" s="16">
        <f t="shared" si="8"/>
        <v>45.156329834710512</v>
      </c>
      <c r="F94" s="16">
        <f t="shared" si="2"/>
        <v>38.558925384595831</v>
      </c>
      <c r="G94" s="16">
        <f t="shared" si="3"/>
        <v>40.81227682121434</v>
      </c>
      <c r="H94" s="16"/>
      <c r="I94" s="16">
        <f t="shared" si="4"/>
        <v>50173.881867885619</v>
      </c>
      <c r="J94" s="16"/>
      <c r="K94" s="16"/>
      <c r="L94" s="16">
        <f t="shared" si="5"/>
        <v>67.890715560612236</v>
      </c>
      <c r="M94" s="16"/>
      <c r="N94" s="16"/>
      <c r="O94" s="16">
        <f t="shared" si="6"/>
        <v>37.956744393765611</v>
      </c>
    </row>
    <row r="95" spans="1:15" x14ac:dyDescent="0.3">
      <c r="A95" s="8">
        <v>1979</v>
      </c>
      <c r="B95" s="16"/>
      <c r="C95" s="16">
        <f t="shared" si="1"/>
        <v>29.037795172253766</v>
      </c>
      <c r="D95" s="16">
        <f t="shared" si="7"/>
        <v>31.672811091322494</v>
      </c>
      <c r="E95" s="16">
        <f t="shared" si="8"/>
        <v>33.139577005219238</v>
      </c>
      <c r="F95" s="16">
        <f t="shared" si="2"/>
        <v>35.842889471879992</v>
      </c>
      <c r="G95" s="16">
        <f t="shared" si="3"/>
        <v>35.394708949553419</v>
      </c>
      <c r="H95" s="16"/>
      <c r="I95" s="16">
        <f t="shared" si="4"/>
        <v>130206.59675540017</v>
      </c>
      <c r="J95" s="16"/>
      <c r="K95" s="16"/>
      <c r="L95" s="16">
        <f t="shared" si="5"/>
        <v>79.144999793077787</v>
      </c>
      <c r="M95" s="16"/>
      <c r="N95" s="16"/>
      <c r="O95" s="16">
        <f t="shared" si="6"/>
        <v>26.843779780745745</v>
      </c>
    </row>
    <row r="96" spans="1:15" x14ac:dyDescent="0.3">
      <c r="A96" s="8">
        <v>1980</v>
      </c>
      <c r="B96" s="16"/>
      <c r="C96" s="16">
        <f t="shared" si="1"/>
        <v>30.150611796918756</v>
      </c>
      <c r="D96" s="16">
        <f t="shared" si="7"/>
        <v>38.732344263503578</v>
      </c>
      <c r="E96" s="16">
        <f t="shared" si="8"/>
        <v>48.530794260630216</v>
      </c>
      <c r="F96" s="16">
        <f t="shared" si="2"/>
        <v>42.703426028724756</v>
      </c>
      <c r="G96" s="16">
        <f t="shared" si="3"/>
        <v>44.082047172885964</v>
      </c>
      <c r="H96" s="16"/>
      <c r="I96" s="16">
        <f t="shared" si="4"/>
        <v>261409.42905799043</v>
      </c>
      <c r="J96" s="16"/>
      <c r="K96" s="16"/>
      <c r="L96" s="16">
        <f t="shared" si="5"/>
        <v>87.717378057980554</v>
      </c>
      <c r="M96" s="16"/>
      <c r="N96" s="16"/>
      <c r="O96" s="16">
        <f t="shared" si="6"/>
        <v>42.240322563887432</v>
      </c>
    </row>
    <row r="97" spans="1:15" x14ac:dyDescent="0.3">
      <c r="A97" s="8">
        <v>1981</v>
      </c>
      <c r="B97" s="16"/>
      <c r="C97" s="16">
        <f t="shared" si="1"/>
        <v>29.419890716719156</v>
      </c>
      <c r="D97" s="16">
        <f t="shared" si="7"/>
        <v>44.481836037996025</v>
      </c>
      <c r="E97" s="16">
        <f t="shared" si="8"/>
        <v>48.230255201830587</v>
      </c>
      <c r="F97" s="16">
        <f t="shared" si="2"/>
        <v>42.266883462315135</v>
      </c>
      <c r="G97" s="16">
        <f t="shared" si="3"/>
        <v>45.58946761158343</v>
      </c>
      <c r="H97" s="16"/>
      <c r="I97" s="16">
        <f t="shared" si="4"/>
        <v>534512.11988171563</v>
      </c>
      <c r="J97" s="16"/>
      <c r="K97" s="16"/>
      <c r="L97" s="16">
        <f t="shared" si="5"/>
        <v>78.684710984056665</v>
      </c>
      <c r="M97" s="16"/>
      <c r="N97" s="16"/>
      <c r="O97" s="16">
        <f t="shared" si="6"/>
        <v>43.459758119237918</v>
      </c>
    </row>
    <row r="98" spans="1:15" x14ac:dyDescent="0.3">
      <c r="A98" s="8">
        <v>1982</v>
      </c>
      <c r="B98" s="16"/>
      <c r="C98" s="16">
        <f t="shared" si="1"/>
        <v>32.063697951495797</v>
      </c>
      <c r="D98" s="16">
        <f t="shared" si="7"/>
        <v>46.560418608708062</v>
      </c>
      <c r="E98" s="16">
        <f t="shared" si="8"/>
        <v>45.701711627691189</v>
      </c>
      <c r="F98" s="16">
        <f t="shared" si="2"/>
        <v>44.652404041895863</v>
      </c>
      <c r="G98" s="16">
        <f t="shared" si="3"/>
        <v>54.952373065421696</v>
      </c>
      <c r="H98" s="16"/>
      <c r="I98" s="16">
        <f t="shared" si="4"/>
        <v>1415305.7465329396</v>
      </c>
      <c r="J98" s="16"/>
      <c r="K98" s="16"/>
      <c r="L98" s="16">
        <f t="shared" si="5"/>
        <v>70.411994202803626</v>
      </c>
      <c r="M98" s="16"/>
      <c r="N98" s="16"/>
      <c r="O98" s="16">
        <f t="shared" si="6"/>
        <v>54.189622213298371</v>
      </c>
    </row>
    <row r="99" spans="1:15" x14ac:dyDescent="0.3">
      <c r="A99" s="8">
        <v>1983</v>
      </c>
      <c r="B99" s="16"/>
      <c r="C99" s="16">
        <f t="shared" si="1"/>
        <v>50.565750194568693</v>
      </c>
      <c r="D99" s="16">
        <f t="shared" si="7"/>
        <v>77.064900006883505</v>
      </c>
      <c r="E99" s="16">
        <f t="shared" si="8"/>
        <v>76.936750777045361</v>
      </c>
      <c r="F99" s="16">
        <f t="shared" si="2"/>
        <v>71.877633736176108</v>
      </c>
      <c r="G99" s="16">
        <f t="shared" si="3"/>
        <v>74.193717401050506</v>
      </c>
      <c r="H99" s="16"/>
      <c r="I99" s="16">
        <f t="shared" si="4"/>
        <v>6281116.9705472896</v>
      </c>
      <c r="J99" s="16"/>
      <c r="K99" s="16"/>
      <c r="L99" s="16">
        <f t="shared" si="5"/>
        <v>91.101794432116208</v>
      </c>
      <c r="M99" s="16"/>
      <c r="N99" s="16"/>
      <c r="O99" s="16">
        <f t="shared" si="6"/>
        <v>74.597900617357396</v>
      </c>
    </row>
    <row r="100" spans="1:15" x14ac:dyDescent="0.3">
      <c r="A100" s="8">
        <v>1984</v>
      </c>
      <c r="B100" s="16"/>
      <c r="C100" s="16">
        <f t="shared" si="1"/>
        <v>63.201443362894167</v>
      </c>
      <c r="D100" s="16">
        <f t="shared" si="7"/>
        <v>101.89006184576306</v>
      </c>
      <c r="E100" s="16">
        <f t="shared" si="8"/>
        <v>87.767497606835704</v>
      </c>
      <c r="F100" s="16">
        <f t="shared" si="2"/>
        <v>85.52129441575066</v>
      </c>
      <c r="G100" s="16">
        <f t="shared" si="3"/>
        <v>87.388058892313467</v>
      </c>
      <c r="H100" s="16"/>
      <c r="I100" s="16">
        <f t="shared" si="4"/>
        <v>45646931.792701848</v>
      </c>
      <c r="J100" s="16"/>
      <c r="K100" s="16"/>
      <c r="L100" s="16">
        <f t="shared" si="5"/>
        <v>110.7910394999646</v>
      </c>
      <c r="M100" s="16"/>
      <c r="N100" s="16"/>
      <c r="O100" s="16">
        <f t="shared" si="6"/>
        <v>84.759765965968867</v>
      </c>
    </row>
    <row r="101" spans="1:15" x14ac:dyDescent="0.3">
      <c r="A101" s="8">
        <v>1985</v>
      </c>
      <c r="B101" s="16"/>
      <c r="C101" s="16">
        <f t="shared" si="1"/>
        <v>38.453316889324348</v>
      </c>
      <c r="D101" s="16">
        <f t="shared" si="7"/>
        <v>79.277222983596843</v>
      </c>
      <c r="E101" s="16">
        <f t="shared" si="8"/>
        <v>72.806866141777135</v>
      </c>
      <c r="F101" s="16">
        <f t="shared" si="2"/>
        <v>73.968960595763278</v>
      </c>
      <c r="G101" s="16">
        <f t="shared" si="3"/>
        <v>78.730919962648372</v>
      </c>
      <c r="H101" s="16"/>
      <c r="I101" s="16">
        <f t="shared" si="4"/>
        <v>352476626.39601117</v>
      </c>
      <c r="J101" s="16"/>
      <c r="K101" s="16"/>
      <c r="L101" s="16">
        <f t="shared" si="5"/>
        <v>90.228908042338958</v>
      </c>
      <c r="M101" s="16"/>
      <c r="N101" s="16"/>
      <c r="O101" s="16">
        <f t="shared" si="6"/>
        <v>72.312233448316093</v>
      </c>
    </row>
    <row r="102" spans="1:15" x14ac:dyDescent="0.3">
      <c r="A102" s="8">
        <v>1986</v>
      </c>
      <c r="B102" s="16"/>
      <c r="C102" s="16">
        <f>(C50*100)/$C$34</f>
        <v>36.953723943881897</v>
      </c>
      <c r="D102" s="16">
        <f t="shared" si="7"/>
        <v>72.066313432571164</v>
      </c>
      <c r="E102" s="16">
        <f t="shared" si="8"/>
        <v>63.975644959150621</v>
      </c>
      <c r="F102" s="16">
        <f t="shared" si="2"/>
        <v>74.310411844809707</v>
      </c>
      <c r="G102" s="16">
        <f t="shared" si="3"/>
        <v>79.21276714385175</v>
      </c>
      <c r="H102" s="16"/>
      <c r="I102" s="16">
        <f t="shared" si="4"/>
        <v>670023729.38915062</v>
      </c>
      <c r="J102" s="16"/>
      <c r="K102" s="16"/>
      <c r="L102" s="16">
        <f t="shared" si="5"/>
        <v>94.570034396314412</v>
      </c>
      <c r="M102" s="16"/>
      <c r="N102" s="16"/>
      <c r="O102" s="16">
        <f t="shared" si="6"/>
        <v>62.892600717498226</v>
      </c>
    </row>
    <row r="133" spans="9:13" ht="18" x14ac:dyDescent="0.35">
      <c r="I133" s="18"/>
      <c r="J133" s="18"/>
      <c r="K133" s="18"/>
      <c r="L133" s="18"/>
      <c r="M133" s="18"/>
    </row>
  </sheetData>
  <mergeCells count="3">
    <mergeCell ref="A4:A5"/>
    <mergeCell ref="I4:I5"/>
    <mergeCell ref="B5:G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Salario ind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Agustina Juarez</cp:lastModifiedBy>
  <cp:revision/>
  <dcterms:created xsi:type="dcterms:W3CDTF">2026-08-03T12:28:24Z</dcterms:created>
  <dcterms:modified xsi:type="dcterms:W3CDTF">2026-08-06T14:33:40Z</dcterms:modified>
  <cp:category/>
  <cp:contentStatus/>
</cp:coreProperties>
</file>