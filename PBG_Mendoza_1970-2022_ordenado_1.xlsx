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as" sheetId="1" state="visible" r:id="rId3"/>
    <sheet name="PBG por tramo" sheetId="2" state="visible" r:id="rId4"/>
    <sheet name="PBG nominal 2004-2022" sheetId="3" state="visible" r:id="rId5"/>
    <sheet name="IPC INDEC" sheetId="4" state="visible" r:id="rId6"/>
    <sheet name="Coeficiente de empalme (B-C)" sheetId="5" state="visible" r:id="rId7"/>
    <sheet name="PBG índice 1970-1985" sheetId="6" state="visible" r:id="rId8"/>
    <sheet name="PBG a precios de 1999"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<sst xmlns="http://schemas.openxmlformats.org/spreadsheetml/2006/main" count="204" uniqueCount="59">
  <si>
    <t xml:space="preserve">Producto Bruto Geográfico de Mendoza, 1970-2022</t>
  </si>
  <si>
    <t xml:space="preserve">Fuente original</t>
  </si>
  <si>
    <t xml:space="preserve">DEIE Mendoza — planilla 'PBG_1970-2022_variacionytasa_DEIE.xls'.</t>
  </si>
  <si>
    <t xml:space="preserve">Tramos</t>
  </si>
  <si>
    <t xml:space="preserve">Los datos se publicaron en 4 tramos, cada uno a precios constantes de un año base distinto:</t>
  </si>
  <si>
    <t xml:space="preserve">  1970-1985</t>
  </si>
  <si>
    <t xml:space="preserve">A valores constantes de 1970, en Australes.</t>
  </si>
  <si>
    <t xml:space="preserve">  1986-1993</t>
  </si>
  <si>
    <t xml:space="preserve">En pesos de 1996 (año base 1996, según la propia planilla de la DEIE).</t>
  </si>
  <si>
    <t xml:space="preserve">  1991-2003</t>
  </si>
  <si>
    <t xml:space="preserve">En miles de pesos de 1993.</t>
  </si>
  <si>
    <t xml:space="preserve">  2004-2022</t>
  </si>
  <si>
    <t xml:space="preserve">En miles de pesos de 1993 (también existe una versión a precios corrientes, hoja aparte).</t>
  </si>
  <si>
    <t xml:space="preserve">Empalme B-&gt;C</t>
  </si>
  <si>
    <t xml:space="preserve">Los tramos 1986-1993 y 1991-2003 SÍ se solapan en 1991-1993. Se usó el coeficiente de 1993 (año base del tramo largo) para reexpresar 1986-1990 en miles de pesos de 1993, y luego toda la serie 1986-2022 se llevó a precios de 1999 con el IPC.</t>
  </si>
  <si>
    <t xml:space="preserve">1970-1985: SIN empalmar</t>
  </si>
  <si>
    <t xml:space="preserve">No hay año de solapamiento entre este tramo y 1986-1993. Se probó usar la tabla oficial de conversión monetaria (1 Peso = 10.000 Australes) junto con el IPC para reexpresarlo a precios de 1999, pero el resultado da un salto de nivel de ~30.000 veces respecto al tramo siguiente — señal de que el cambio de año base implica un recálculo metodológico (ponderadores sectoriales), no solo un cambio de moneda y precios. Por eso se decidió NO forzar una continuidad: 1970-1985 se deja como índice propio (base 1970=100, hoja 'PBG índice 1970-1985'), sin convertir a pesos ni empalmar con el resto de la serie.</t>
  </si>
  <si>
    <t xml:space="preserve">Respaldo de este criterio</t>
  </si>
  <si>
    <t xml:space="preserve">La propia DEIE, en su nota metodológica sobre el PBG (2019), recomienda evitar comparar valores absolutos del PBG entre años base distintos, ya que la discrepancia al cambiar de base es esperable y no un error de medición.</t>
  </si>
  <si>
    <t xml:space="preserve">Quiebre 2003-2004</t>
  </si>
  <si>
    <t xml:space="preserve">La DEIE documenta que tampoco hay empalme formal entre las mediciones 1991-2003 y 2004-2022 (cambio metodológico). Se dejaron como continuas dentro del tramo 1986-2022 por ser la única fuente disponible; el salto de +16,4% en 2004 refleja ese quiebre, no un error de cálculo.</t>
  </si>
  <si>
    <t xml:space="preserve">Producto Bruto Geográfico de Mendoza — series por tramo de publicación</t>
  </si>
  <si>
    <t xml:space="preserve">Fuente: DEIE Mendoza. Cada tramo está a precios constantes del año base indicado (ver hoja Notas).</t>
  </si>
  <si>
    <t xml:space="preserve">Año</t>
  </si>
  <si>
    <t xml:space="preserve">Tramo</t>
  </si>
  <si>
    <t xml:space="preserve">Moneda / unidad</t>
  </si>
  <si>
    <t xml:space="preserve">Precios constantes de</t>
  </si>
  <si>
    <t xml:space="preserve">PBG</t>
  </si>
  <si>
    <t xml:space="preserve">Variación anual (%)</t>
  </si>
  <si>
    <t xml:space="preserve">1970-1985</t>
  </si>
  <si>
    <t xml:space="preserve">Australes</t>
  </si>
  <si>
    <t xml:space="preserve">1986-1993</t>
  </si>
  <si>
    <t xml:space="preserve">Pesos</t>
  </si>
  <si>
    <t xml:space="preserve">1991-2003</t>
  </si>
  <si>
    <t xml:space="preserve">Miles de pesos</t>
  </si>
  <si>
    <t xml:space="preserve">2004-2022</t>
  </si>
  <si>
    <t xml:space="preserve">PBG Mendoza a precios corrientes, 2004-2022</t>
  </si>
  <si>
    <t xml:space="preserve">Fuente: DEIE Mendoza. Valores nominales (sin ajustar por inflación).</t>
  </si>
  <si>
    <t xml:space="preserve">PBG (miles $ corrientes)</t>
  </si>
  <si>
    <t xml:space="preserve">IPC INDEC — Nivel general, base 1999=100</t>
  </si>
  <si>
    <t xml:space="preserve">IPC (base 1999=100)</t>
  </si>
  <si>
    <t xml:space="preserve">Coeficiente de empalme 1986-1993 -&gt; 1991-2003</t>
  </si>
  <si>
    <t xml:space="preserve">Usa el solapamiento real 1991-1993 (ancla en 1993, año base del tramo largo).</t>
  </si>
  <si>
    <t xml:space="preserve">Coef_B</t>
  </si>
  <si>
    <t xml:space="preserve">Factor de reexpresión a precios de 1999 (IPC INDEC)</t>
  </si>
  <si>
    <t xml:space="preserve">Factor_1999</t>
  </si>
  <si>
    <t xml:space="preserve">Nota</t>
  </si>
  <si>
    <t xml:space="preserve">El tramo 1970-1985 NO se empalma con este: no hay año de solapamiento con 1986-1993, y se comprobó que usar la tabla de conversión monetaria (Austral-&gt;Peso) junto con el IPC da un salto de nivel de ~30.000 veces, incompatible con la evolución real observada. Ver hoja 'PBG índice 1970-1985'.</t>
  </si>
  <si>
    <t xml:space="preserve">PBG Mendoza, 1970-1985 — índice propio (1970=100)</t>
  </si>
  <si>
    <t xml:space="preserve">NO comparable en nivel con el tramo 1986-2022 (distinto año base, sin año de solapamiento).</t>
  </si>
  <si>
    <t xml:space="preserve">PBG (Australes de 1970)</t>
  </si>
  <si>
    <t xml:space="preserve">Índice (1970=100)</t>
  </si>
  <si>
    <t xml:space="preserve">PBG Mendoza, 1986-2022 — a precios constantes de 1999</t>
  </si>
  <si>
    <t xml:space="preserve">PBG por tramo, reescalado con Coef_B, x Factor_1999. No incluye 1970-1985 (ver hoja aparte).</t>
  </si>
  <si>
    <t xml:space="preserve">Tramo de origen</t>
  </si>
  <si>
    <t xml:space="preserve">PBG (miles $ ctes. de 1999)</t>
  </si>
  <si>
    <t xml:space="preserve">B</t>
  </si>
  <si>
    <t xml:space="preserve">C</t>
  </si>
  <si>
    <t xml:space="preserve">D</t>
  </si>
</sst>
</file>

<file path=xl/styles.xml><?xml version="1.0" encoding="utf-8"?>
<styleSheet xmlns="http://schemas.openxmlformats.org/spreadsheetml/2006/main">
  <numFmts count="5">
    <numFmt numFmtId="164" formatCode="General"/>
    <numFmt numFmtId="165" formatCode="#,##0.00"/>
    <numFmt numFmtId="166" formatCode="0.00%"/>
    <numFmt numFmtId="167" formatCode="0.00000000"/>
    <numFmt numFmtId="168" formatCode="#,##0.0000"/>
  </numFmts>
  <fonts count="9">
    <font>
      <sz val="11"/>
      <color theme="1"/>
      <name val="Calibri"/>
      <family val="2"/>
      <charset val="1"/>
    </font>
    <font>
      <sz val="10"/>
      <name val="Arial"/>
      <family val="0"/>
    </font>
    <font>
      <sz val="10"/>
      <name val="Arial"/>
      <family val="0"/>
    </font>
    <font>
      <sz val="10"/>
      <name val="Arial"/>
      <family val="0"/>
    </font>
    <font>
      <b val="true"/>
      <sz val="13"/>
      <color rgb="FF1B2A4A"/>
      <name val="Arial"/>
      <family val="0"/>
      <charset val="1"/>
    </font>
    <font>
      <b val="true"/>
      <sz val="10"/>
      <name val="Arial"/>
      <family val="0"/>
      <charset val="1"/>
    </font>
    <font>
      <sz val="10"/>
      <name val="Arial"/>
      <family val="0"/>
      <charset val="1"/>
    </font>
    <font>
      <i val="true"/>
      <sz val="9"/>
      <color rgb="FF666666"/>
      <name val="Arial"/>
      <family val="0"/>
      <charset val="1"/>
    </font>
    <font>
      <b val="true"/>
      <sz val="10"/>
      <color rgb="FFFFFFFF"/>
      <name val="Arial"/>
      <family val="0"/>
      <charset val="1"/>
    </font>
  </fonts>
  <fills count="4">
    <fill>
      <patternFill patternType="none"/>
    </fill>
    <fill>
      <patternFill patternType="gray125"/>
    </fill>
    <fill>
      <patternFill patternType="solid">
        <fgColor rgb="FF1B2A4A"/>
        <bgColor rgb="FF003366"/>
      </patternFill>
    </fill>
    <fill>
      <patternFill patternType="solid">
        <fgColor rgb="FFFFF9DB"/>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8"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9D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0"/>
  </cols>
  <sheetData>
    <row r="1" customFormat="false" ht="16.15" hidden="false" customHeight="false" outlineLevel="0" collapsed="false">
      <c r="A1" s="1" t="s">
        <v>0</v>
      </c>
      <c r="B1" s="1"/>
    </row>
    <row r="3" customFormat="false" ht="30" hidden="false" customHeight="true" outlineLevel="0" collapsed="false">
      <c r="A3" s="2" t="s">
        <v>1</v>
      </c>
      <c r="B3" s="3" t="s">
        <v>2</v>
      </c>
    </row>
    <row r="4" customFormat="false" ht="30" hidden="false" customHeight="true" outlineLevel="0" collapsed="false">
      <c r="A4" s="2" t="s">
        <v>3</v>
      </c>
      <c r="B4" s="3" t="s">
        <v>4</v>
      </c>
    </row>
    <row r="5" customFormat="false" ht="30" hidden="false" customHeight="true" outlineLevel="0" collapsed="false">
      <c r="A5" s="2" t="s">
        <v>5</v>
      </c>
      <c r="B5" s="3" t="s">
        <v>6</v>
      </c>
    </row>
    <row r="6" customFormat="false" ht="30" hidden="false" customHeight="true" outlineLevel="0" collapsed="false">
      <c r="A6" s="2" t="s">
        <v>7</v>
      </c>
      <c r="B6" s="3" t="s">
        <v>8</v>
      </c>
    </row>
    <row r="7" customFormat="false" ht="30" hidden="false" customHeight="true" outlineLevel="0" collapsed="false">
      <c r="A7" s="2" t="s">
        <v>9</v>
      </c>
      <c r="B7" s="3" t="s">
        <v>10</v>
      </c>
    </row>
    <row r="8" customFormat="false" ht="30" hidden="false" customHeight="true" outlineLevel="0" collapsed="false">
      <c r="A8" s="2" t="s">
        <v>11</v>
      </c>
      <c r="B8" s="3" t="s">
        <v>12</v>
      </c>
    </row>
    <row r="9" customFormat="false" ht="60" hidden="false" customHeight="true" outlineLevel="0" collapsed="false">
      <c r="A9" s="2" t="s">
        <v>13</v>
      </c>
      <c r="B9" s="3" t="s">
        <v>14</v>
      </c>
    </row>
    <row r="10" customFormat="false" ht="60" hidden="false" customHeight="true" outlineLevel="0" collapsed="false">
      <c r="A10" s="2" t="s">
        <v>15</v>
      </c>
      <c r="B10" s="3" t="s">
        <v>16</v>
      </c>
    </row>
    <row r="11" customFormat="false" ht="60" hidden="false" customHeight="true" outlineLevel="0" collapsed="false">
      <c r="A11" s="2" t="s">
        <v>17</v>
      </c>
      <c r="B11" s="3" t="s">
        <v>18</v>
      </c>
    </row>
    <row r="12" customFormat="false" ht="60" hidden="false" customHeight="true" outlineLevel="0" collapsed="false">
      <c r="A12" s="2" t="s">
        <v>19</v>
      </c>
      <c r="B12" s="3" t="s">
        <v>20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8"/>
    <col collapsed="false" customWidth="true" hidden="false" outlineLevel="0" max="4" min="4" style="0" width="20"/>
    <col collapsed="false" customWidth="true" hidden="false" outlineLevel="0" max="6" min="5" style="0" width="18"/>
  </cols>
  <sheetData>
    <row r="1" customFormat="false" ht="16.15" hidden="false" customHeight="false" outlineLevel="0" collapsed="false">
      <c r="A1" s="1" t="s">
        <v>21</v>
      </c>
      <c r="B1" s="1"/>
      <c r="C1" s="1"/>
      <c r="D1" s="1"/>
      <c r="E1" s="1"/>
      <c r="F1" s="1"/>
    </row>
    <row r="2" customFormat="false" ht="15" hidden="false" customHeight="false" outlineLevel="0" collapsed="false">
      <c r="A2" s="4" t="s">
        <v>22</v>
      </c>
      <c r="B2" s="4"/>
      <c r="C2" s="4"/>
      <c r="D2" s="4"/>
      <c r="E2" s="4"/>
      <c r="F2" s="4"/>
    </row>
    <row r="4" customFormat="false" ht="15" hidden="false" customHeight="false" outlineLevel="0" collapsed="false">
      <c r="A4" s="5" t="s">
        <v>23</v>
      </c>
      <c r="B4" s="5" t="s">
        <v>24</v>
      </c>
      <c r="C4" s="5" t="s">
        <v>25</v>
      </c>
      <c r="D4" s="5" t="s">
        <v>26</v>
      </c>
      <c r="E4" s="5" t="s">
        <v>27</v>
      </c>
      <c r="F4" s="5" t="s">
        <v>28</v>
      </c>
    </row>
    <row r="5" customFormat="false" ht="15" hidden="false" customHeight="false" outlineLevel="0" collapsed="false">
      <c r="A5" s="6" t="n">
        <v>1970</v>
      </c>
      <c r="B5" s="6" t="s">
        <v>29</v>
      </c>
      <c r="C5" s="6" t="s">
        <v>30</v>
      </c>
      <c r="D5" s="6" t="n">
        <v>1970</v>
      </c>
      <c r="E5" s="7" t="n">
        <v>313.43</v>
      </c>
      <c r="F5" s="6"/>
    </row>
    <row r="6" customFormat="false" ht="15" hidden="false" customHeight="false" outlineLevel="0" collapsed="false">
      <c r="A6" s="6" t="n">
        <v>1971</v>
      </c>
      <c r="B6" s="6" t="s">
        <v>29</v>
      </c>
      <c r="C6" s="6" t="s">
        <v>30</v>
      </c>
      <c r="D6" s="6" t="n">
        <v>1970</v>
      </c>
      <c r="E6" s="7" t="n">
        <v>334.41</v>
      </c>
      <c r="F6" s="8" t="n">
        <f aca="false">E6/E5-1</f>
        <v>0.066936796094822</v>
      </c>
    </row>
    <row r="7" customFormat="false" ht="15" hidden="false" customHeight="false" outlineLevel="0" collapsed="false">
      <c r="A7" s="6" t="n">
        <v>1972</v>
      </c>
      <c r="B7" s="6" t="s">
        <v>29</v>
      </c>
      <c r="C7" s="6" t="s">
        <v>30</v>
      </c>
      <c r="D7" s="6" t="n">
        <v>1970</v>
      </c>
      <c r="E7" s="7" t="n">
        <v>356.26</v>
      </c>
      <c r="F7" s="8" t="n">
        <f aca="false">E7/E6-1</f>
        <v>0.0653389551747854</v>
      </c>
    </row>
    <row r="8" customFormat="false" ht="15" hidden="false" customHeight="false" outlineLevel="0" collapsed="false">
      <c r="A8" s="6" t="n">
        <v>1973</v>
      </c>
      <c r="B8" s="6" t="s">
        <v>29</v>
      </c>
      <c r="C8" s="6" t="s">
        <v>30</v>
      </c>
      <c r="D8" s="6" t="n">
        <v>1970</v>
      </c>
      <c r="E8" s="7" t="n">
        <v>364.33</v>
      </c>
      <c r="F8" s="8" t="n">
        <f aca="false">E8/E7-1</f>
        <v>0.022651995733453</v>
      </c>
    </row>
    <row r="9" customFormat="false" ht="15" hidden="false" customHeight="false" outlineLevel="0" collapsed="false">
      <c r="A9" s="6" t="n">
        <v>1974</v>
      </c>
      <c r="B9" s="6" t="s">
        <v>29</v>
      </c>
      <c r="C9" s="6" t="s">
        <v>30</v>
      </c>
      <c r="D9" s="6" t="n">
        <v>1970</v>
      </c>
      <c r="E9" s="7" t="n">
        <v>406.37</v>
      </c>
      <c r="F9" s="8" t="n">
        <f aca="false">E9/E8-1</f>
        <v>0.115389893777619</v>
      </c>
    </row>
    <row r="10" customFormat="false" ht="15" hidden="false" customHeight="false" outlineLevel="0" collapsed="false">
      <c r="A10" s="6" t="n">
        <v>1975</v>
      </c>
      <c r="B10" s="6" t="s">
        <v>29</v>
      </c>
      <c r="C10" s="6" t="s">
        <v>30</v>
      </c>
      <c r="D10" s="6" t="n">
        <v>1970</v>
      </c>
      <c r="E10" s="7" t="n">
        <v>355.2</v>
      </c>
      <c r="F10" s="8" t="n">
        <f aca="false">E10/E9-1</f>
        <v>-0.125919728326402</v>
      </c>
    </row>
    <row r="11" customFormat="false" ht="15" hidden="false" customHeight="false" outlineLevel="0" collapsed="false">
      <c r="A11" s="6" t="n">
        <v>1976</v>
      </c>
      <c r="B11" s="6" t="s">
        <v>29</v>
      </c>
      <c r="C11" s="6" t="s">
        <v>30</v>
      </c>
      <c r="D11" s="6" t="n">
        <v>1970</v>
      </c>
      <c r="E11" s="7" t="n">
        <v>404.05</v>
      </c>
      <c r="F11" s="8" t="n">
        <f aca="false">E11/E10-1</f>
        <v>0.137528153153153</v>
      </c>
    </row>
    <row r="12" customFormat="false" ht="15" hidden="false" customHeight="false" outlineLevel="0" collapsed="false">
      <c r="A12" s="6" t="n">
        <v>1977</v>
      </c>
      <c r="B12" s="6" t="s">
        <v>29</v>
      </c>
      <c r="C12" s="6" t="s">
        <v>30</v>
      </c>
      <c r="D12" s="6" t="n">
        <v>1970</v>
      </c>
      <c r="E12" s="7" t="n">
        <v>380.63</v>
      </c>
      <c r="F12" s="8" t="n">
        <f aca="false">E12/E11-1</f>
        <v>-0.0579631233758199</v>
      </c>
    </row>
    <row r="13" customFormat="false" ht="15" hidden="false" customHeight="false" outlineLevel="0" collapsed="false">
      <c r="A13" s="6" t="n">
        <v>1978</v>
      </c>
      <c r="B13" s="6" t="s">
        <v>29</v>
      </c>
      <c r="C13" s="6" t="s">
        <v>30</v>
      </c>
      <c r="D13" s="6" t="n">
        <v>1970</v>
      </c>
      <c r="E13" s="7" t="n">
        <v>423.6</v>
      </c>
      <c r="F13" s="8" t="n">
        <f aca="false">E13/E12-1</f>
        <v>0.11289178467278</v>
      </c>
    </row>
    <row r="14" customFormat="false" ht="15" hidden="false" customHeight="false" outlineLevel="0" collapsed="false">
      <c r="A14" s="6" t="n">
        <v>1979</v>
      </c>
      <c r="B14" s="6" t="s">
        <v>29</v>
      </c>
      <c r="C14" s="6" t="s">
        <v>30</v>
      </c>
      <c r="D14" s="6" t="n">
        <v>1970</v>
      </c>
      <c r="E14" s="7" t="n">
        <v>481.05</v>
      </c>
      <c r="F14" s="8" t="n">
        <f aca="false">E14/E13-1</f>
        <v>0.135623229461756</v>
      </c>
    </row>
    <row r="15" customFormat="false" ht="15" hidden="false" customHeight="false" outlineLevel="0" collapsed="false">
      <c r="A15" s="6" t="n">
        <v>1980</v>
      </c>
      <c r="B15" s="6" t="s">
        <v>29</v>
      </c>
      <c r="C15" s="6" t="s">
        <v>30</v>
      </c>
      <c r="D15" s="6" t="n">
        <v>1970</v>
      </c>
      <c r="E15" s="7" t="n">
        <v>429.24</v>
      </c>
      <c r="F15" s="8" t="n">
        <f aca="false">E15/E14-1</f>
        <v>-0.10770190208918</v>
      </c>
    </row>
    <row r="16" customFormat="false" ht="15" hidden="false" customHeight="false" outlineLevel="0" collapsed="false">
      <c r="A16" s="6" t="n">
        <v>1981</v>
      </c>
      <c r="B16" s="6" t="s">
        <v>29</v>
      </c>
      <c r="C16" s="6" t="s">
        <v>30</v>
      </c>
      <c r="D16" s="6" t="n">
        <v>1970</v>
      </c>
      <c r="E16" s="7" t="n">
        <v>351.83</v>
      </c>
      <c r="F16" s="8" t="n">
        <f aca="false">E16/E15-1</f>
        <v>-0.180341999813624</v>
      </c>
    </row>
    <row r="17" customFormat="false" ht="15" hidden="false" customHeight="false" outlineLevel="0" collapsed="false">
      <c r="A17" s="6" t="n">
        <v>1982</v>
      </c>
      <c r="B17" s="6" t="s">
        <v>29</v>
      </c>
      <c r="C17" s="6" t="s">
        <v>30</v>
      </c>
      <c r="D17" s="6" t="n">
        <v>1970</v>
      </c>
      <c r="E17" s="7" t="n">
        <v>360.43</v>
      </c>
      <c r="F17" s="8" t="n">
        <f aca="false">E17/E16-1</f>
        <v>0.0244436233408181</v>
      </c>
    </row>
    <row r="18" customFormat="false" ht="15" hidden="false" customHeight="false" outlineLevel="0" collapsed="false">
      <c r="A18" s="6" t="n">
        <v>1983</v>
      </c>
      <c r="B18" s="6" t="s">
        <v>29</v>
      </c>
      <c r="C18" s="6" t="s">
        <v>30</v>
      </c>
      <c r="D18" s="6" t="n">
        <v>1970</v>
      </c>
      <c r="E18" s="7" t="n">
        <v>419.26</v>
      </c>
      <c r="F18" s="8" t="n">
        <f aca="false">E18/E17-1</f>
        <v>0.163221707405044</v>
      </c>
    </row>
    <row r="19" customFormat="false" ht="15" hidden="false" customHeight="false" outlineLevel="0" collapsed="false">
      <c r="A19" s="6" t="n">
        <v>1984</v>
      </c>
      <c r="B19" s="6" t="s">
        <v>29</v>
      </c>
      <c r="C19" s="6" t="s">
        <v>30</v>
      </c>
      <c r="D19" s="6" t="n">
        <v>1970</v>
      </c>
      <c r="E19" s="7" t="n">
        <v>404.44</v>
      </c>
      <c r="F19" s="8" t="n">
        <f aca="false">E19/E18-1</f>
        <v>-0.035347994084816</v>
      </c>
    </row>
    <row r="20" customFormat="false" ht="15" hidden="false" customHeight="false" outlineLevel="0" collapsed="false">
      <c r="A20" s="6" t="n">
        <v>1985</v>
      </c>
      <c r="B20" s="6" t="s">
        <v>29</v>
      </c>
      <c r="C20" s="6" t="s">
        <v>30</v>
      </c>
      <c r="D20" s="6" t="n">
        <v>1970</v>
      </c>
      <c r="E20" s="7" t="n">
        <v>384.61</v>
      </c>
      <c r="F20" s="8" t="n">
        <f aca="false">E20/E19-1</f>
        <v>-0.0490307585797646</v>
      </c>
    </row>
    <row r="22" customFormat="false" ht="15" hidden="false" customHeight="false" outlineLevel="0" collapsed="false">
      <c r="A22" s="6" t="n">
        <v>1986</v>
      </c>
      <c r="B22" s="6" t="s">
        <v>31</v>
      </c>
      <c r="C22" s="6" t="s">
        <v>32</v>
      </c>
      <c r="D22" s="6" t="n">
        <v>1996</v>
      </c>
      <c r="E22" s="7" t="n">
        <v>267608.7</v>
      </c>
      <c r="F22" s="6"/>
    </row>
    <row r="23" customFormat="false" ht="15" hidden="false" customHeight="false" outlineLevel="0" collapsed="false">
      <c r="A23" s="6" t="n">
        <v>1987</v>
      </c>
      <c r="B23" s="6" t="s">
        <v>31</v>
      </c>
      <c r="C23" s="6" t="s">
        <v>32</v>
      </c>
      <c r="D23" s="6" t="n">
        <v>1996</v>
      </c>
      <c r="E23" s="7" t="n">
        <v>271052</v>
      </c>
      <c r="F23" s="8" t="n">
        <f aca="false">E23/E22-1</f>
        <v>0.0128669209932262</v>
      </c>
    </row>
    <row r="24" customFormat="false" ht="15" hidden="false" customHeight="false" outlineLevel="0" collapsed="false">
      <c r="A24" s="6" t="n">
        <v>1988</v>
      </c>
      <c r="B24" s="6" t="s">
        <v>31</v>
      </c>
      <c r="C24" s="6" t="s">
        <v>32</v>
      </c>
      <c r="D24" s="6" t="n">
        <v>1996</v>
      </c>
      <c r="E24" s="7" t="n">
        <v>264473</v>
      </c>
      <c r="F24" s="8" t="n">
        <f aca="false">E24/E23-1</f>
        <v>-0.0242720953912903</v>
      </c>
    </row>
    <row r="25" customFormat="false" ht="15" hidden="false" customHeight="false" outlineLevel="0" collapsed="false">
      <c r="A25" s="6" t="n">
        <v>1989</v>
      </c>
      <c r="B25" s="6" t="s">
        <v>31</v>
      </c>
      <c r="C25" s="6" t="s">
        <v>32</v>
      </c>
      <c r="D25" s="6" t="n">
        <v>1996</v>
      </c>
      <c r="E25" s="7" t="n">
        <v>253410</v>
      </c>
      <c r="F25" s="8" t="n">
        <f aca="false">E25/E24-1</f>
        <v>-0.0418303569740578</v>
      </c>
    </row>
    <row r="26" customFormat="false" ht="15" hidden="false" customHeight="false" outlineLevel="0" collapsed="false">
      <c r="A26" s="6" t="n">
        <v>1990</v>
      </c>
      <c r="B26" s="6" t="s">
        <v>31</v>
      </c>
      <c r="C26" s="6" t="s">
        <v>32</v>
      </c>
      <c r="D26" s="6" t="n">
        <v>1996</v>
      </c>
      <c r="E26" s="7" t="n">
        <v>253627</v>
      </c>
      <c r="F26" s="8" t="n">
        <f aca="false">E26/E25-1</f>
        <v>0.000856319797955862</v>
      </c>
    </row>
    <row r="27" customFormat="false" ht="15" hidden="false" customHeight="false" outlineLevel="0" collapsed="false">
      <c r="A27" s="6" t="n">
        <v>1991</v>
      </c>
      <c r="B27" s="6" t="s">
        <v>31</v>
      </c>
      <c r="C27" s="6" t="s">
        <v>32</v>
      </c>
      <c r="D27" s="6" t="n">
        <v>1996</v>
      </c>
      <c r="E27" s="7" t="n">
        <v>259579</v>
      </c>
      <c r="F27" s="8" t="n">
        <f aca="false">E27/E26-1</f>
        <v>0.0234675330307894</v>
      </c>
    </row>
    <row r="28" customFormat="false" ht="15" hidden="false" customHeight="false" outlineLevel="0" collapsed="false">
      <c r="A28" s="6" t="n">
        <v>1992</v>
      </c>
      <c r="B28" s="6" t="s">
        <v>31</v>
      </c>
      <c r="C28" s="6" t="s">
        <v>32</v>
      </c>
      <c r="D28" s="6" t="n">
        <v>1996</v>
      </c>
      <c r="E28" s="7" t="n">
        <v>277469</v>
      </c>
      <c r="F28" s="8" t="n">
        <f aca="false">E28/E27-1</f>
        <v>0.0689192885402903</v>
      </c>
    </row>
    <row r="29" customFormat="false" ht="15" hidden="false" customHeight="false" outlineLevel="0" collapsed="false">
      <c r="A29" s="6" t="n">
        <v>1993</v>
      </c>
      <c r="B29" s="6" t="s">
        <v>31</v>
      </c>
      <c r="C29" s="6" t="s">
        <v>32</v>
      </c>
      <c r="D29" s="6" t="n">
        <v>1996</v>
      </c>
      <c r="E29" s="7" t="n">
        <v>296965</v>
      </c>
      <c r="F29" s="8" t="n">
        <f aca="false">E29/E28-1</f>
        <v>0.0702637051346278</v>
      </c>
    </row>
    <row r="31" customFormat="false" ht="15" hidden="false" customHeight="false" outlineLevel="0" collapsed="false">
      <c r="A31" s="6" t="n">
        <v>1991</v>
      </c>
      <c r="B31" s="6" t="s">
        <v>33</v>
      </c>
      <c r="C31" s="6" t="s">
        <v>34</v>
      </c>
      <c r="D31" s="6" t="n">
        <v>1993</v>
      </c>
      <c r="E31" s="7" t="n">
        <v>6485506.94692333</v>
      </c>
      <c r="F31" s="6"/>
    </row>
    <row r="32" customFormat="false" ht="15" hidden="false" customHeight="false" outlineLevel="0" collapsed="false">
      <c r="A32" s="6" t="n">
        <v>1992</v>
      </c>
      <c r="B32" s="6" t="s">
        <v>33</v>
      </c>
      <c r="C32" s="6" t="s">
        <v>34</v>
      </c>
      <c r="D32" s="6" t="n">
        <v>1993</v>
      </c>
      <c r="E32" s="7" t="n">
        <v>7035025.58679384</v>
      </c>
      <c r="F32" s="8" t="n">
        <f aca="false">E32/E31-1</f>
        <v>0.0847302522944942</v>
      </c>
    </row>
    <row r="33" customFormat="false" ht="15" hidden="false" customHeight="false" outlineLevel="0" collapsed="false">
      <c r="A33" s="6" t="n">
        <v>1993</v>
      </c>
      <c r="B33" s="6" t="s">
        <v>33</v>
      </c>
      <c r="C33" s="6" t="s">
        <v>34</v>
      </c>
      <c r="D33" s="6" t="n">
        <v>1993</v>
      </c>
      <c r="E33" s="7" t="n">
        <v>7761508.2247009</v>
      </c>
      <c r="F33" s="8" t="n">
        <f aca="false">E33/E32-1</f>
        <v>0.103266523901608</v>
      </c>
    </row>
    <row r="34" customFormat="false" ht="15" hidden="false" customHeight="false" outlineLevel="0" collapsed="false">
      <c r="A34" s="6" t="n">
        <v>1994</v>
      </c>
      <c r="B34" s="6" t="s">
        <v>33</v>
      </c>
      <c r="C34" s="6" t="s">
        <v>34</v>
      </c>
      <c r="D34" s="6" t="n">
        <v>1993</v>
      </c>
      <c r="E34" s="7" t="n">
        <v>8098028.31057211</v>
      </c>
      <c r="F34" s="8" t="n">
        <f aca="false">E34/E33-1</f>
        <v>0.0433575635209966</v>
      </c>
    </row>
    <row r="35" customFormat="false" ht="15" hidden="false" customHeight="false" outlineLevel="0" collapsed="false">
      <c r="A35" s="6" t="n">
        <v>1995</v>
      </c>
      <c r="B35" s="6" t="s">
        <v>33</v>
      </c>
      <c r="C35" s="6" t="s">
        <v>34</v>
      </c>
      <c r="D35" s="6" t="n">
        <v>1993</v>
      </c>
      <c r="E35" s="7" t="n">
        <v>7908811.38564619</v>
      </c>
      <c r="F35" s="8" t="n">
        <f aca="false">E35/E34-1</f>
        <v>-0.0233658018556062</v>
      </c>
    </row>
    <row r="36" customFormat="false" ht="15" hidden="false" customHeight="false" outlineLevel="0" collapsed="false">
      <c r="A36" s="6" t="n">
        <v>1996</v>
      </c>
      <c r="B36" s="6" t="s">
        <v>33</v>
      </c>
      <c r="C36" s="6" t="s">
        <v>34</v>
      </c>
      <c r="D36" s="6" t="n">
        <v>1993</v>
      </c>
      <c r="E36" s="7" t="n">
        <v>8135361.87722706</v>
      </c>
      <c r="F36" s="8" t="n">
        <f aca="false">E36/E35-1</f>
        <v>0.0286453274119083</v>
      </c>
    </row>
    <row r="37" customFormat="false" ht="15" hidden="false" customHeight="false" outlineLevel="0" collapsed="false">
      <c r="A37" s="6" t="n">
        <v>1997</v>
      </c>
      <c r="B37" s="6" t="s">
        <v>33</v>
      </c>
      <c r="C37" s="6" t="s">
        <v>34</v>
      </c>
      <c r="D37" s="6" t="n">
        <v>1993</v>
      </c>
      <c r="E37" s="7" t="n">
        <v>8905959.44490481</v>
      </c>
      <c r="F37" s="8" t="n">
        <f aca="false">E37/E36-1</f>
        <v>0.0947219778673707</v>
      </c>
    </row>
    <row r="38" customFormat="false" ht="15" hidden="false" customHeight="false" outlineLevel="0" collapsed="false">
      <c r="A38" s="6" t="n">
        <v>1998</v>
      </c>
      <c r="B38" s="6" t="s">
        <v>33</v>
      </c>
      <c r="C38" s="6" t="s">
        <v>34</v>
      </c>
      <c r="D38" s="6" t="n">
        <v>1993</v>
      </c>
      <c r="E38" s="7" t="n">
        <v>9488295.93228338</v>
      </c>
      <c r="F38" s="8" t="n">
        <f aca="false">E38/E37-1</f>
        <v>0.0653872826371031</v>
      </c>
    </row>
    <row r="39" customFormat="false" ht="15" hidden="false" customHeight="false" outlineLevel="0" collapsed="false">
      <c r="A39" s="6" t="n">
        <v>1999</v>
      </c>
      <c r="B39" s="6" t="s">
        <v>33</v>
      </c>
      <c r="C39" s="6" t="s">
        <v>34</v>
      </c>
      <c r="D39" s="6" t="n">
        <v>1993</v>
      </c>
      <c r="E39" s="7" t="n">
        <v>9252615.16936611</v>
      </c>
      <c r="F39" s="8" t="n">
        <f aca="false">E39/E38-1</f>
        <v>-0.0248391033120478</v>
      </c>
    </row>
    <row r="40" customFormat="false" ht="15" hidden="false" customHeight="false" outlineLevel="0" collapsed="false">
      <c r="A40" s="6" t="n">
        <v>2000</v>
      </c>
      <c r="B40" s="6" t="s">
        <v>33</v>
      </c>
      <c r="C40" s="6" t="s">
        <v>34</v>
      </c>
      <c r="D40" s="6" t="n">
        <v>1993</v>
      </c>
      <c r="E40" s="7" t="n">
        <v>9002038.45133831</v>
      </c>
      <c r="F40" s="8" t="n">
        <f aca="false">E40/E39-1</f>
        <v>-0.0270817183510901</v>
      </c>
    </row>
    <row r="41" customFormat="false" ht="15" hidden="false" customHeight="false" outlineLevel="0" collapsed="false">
      <c r="A41" s="6" t="n">
        <v>2001</v>
      </c>
      <c r="B41" s="6" t="s">
        <v>33</v>
      </c>
      <c r="C41" s="6" t="s">
        <v>34</v>
      </c>
      <c r="D41" s="6" t="n">
        <v>1993</v>
      </c>
      <c r="E41" s="7" t="n">
        <v>8322993.49667044</v>
      </c>
      <c r="F41" s="8" t="n">
        <f aca="false">E41/E40-1</f>
        <v>-0.0754323543871244</v>
      </c>
    </row>
    <row r="42" customFormat="false" ht="15" hidden="false" customHeight="false" outlineLevel="0" collapsed="false">
      <c r="A42" s="6" t="n">
        <v>2002</v>
      </c>
      <c r="B42" s="6" t="s">
        <v>33</v>
      </c>
      <c r="C42" s="6" t="s">
        <v>34</v>
      </c>
      <c r="D42" s="6" t="n">
        <v>1993</v>
      </c>
      <c r="E42" s="7" t="n">
        <v>7772198.03942711</v>
      </c>
      <c r="F42" s="8" t="n">
        <f aca="false">E42/E41-1</f>
        <v>-0.0661775666968466</v>
      </c>
    </row>
    <row r="43" customFormat="false" ht="15" hidden="false" customHeight="false" outlineLevel="0" collapsed="false">
      <c r="A43" s="6" t="n">
        <v>2003</v>
      </c>
      <c r="B43" s="6" t="s">
        <v>33</v>
      </c>
      <c r="C43" s="6" t="s">
        <v>34</v>
      </c>
      <c r="D43" s="6" t="n">
        <v>1993</v>
      </c>
      <c r="E43" s="7" t="n">
        <v>9339929.59453541</v>
      </c>
      <c r="F43" s="8" t="n">
        <f aca="false">E43/E42-1</f>
        <v>0.201710191525673</v>
      </c>
    </row>
    <row r="45" customFormat="false" ht="15" hidden="false" customHeight="false" outlineLevel="0" collapsed="false">
      <c r="A45" s="6" t="n">
        <v>2004</v>
      </c>
      <c r="B45" s="6" t="s">
        <v>35</v>
      </c>
      <c r="C45" s="6" t="s">
        <v>34</v>
      </c>
      <c r="D45" s="6" t="n">
        <v>1993</v>
      </c>
      <c r="E45" s="7" t="n">
        <v>10874929.0970839</v>
      </c>
      <c r="F45" s="6"/>
    </row>
    <row r="46" customFormat="false" ht="15" hidden="false" customHeight="false" outlineLevel="0" collapsed="false">
      <c r="A46" s="6" t="n">
        <v>2005</v>
      </c>
      <c r="B46" s="6" t="s">
        <v>35</v>
      </c>
      <c r="C46" s="6" t="s">
        <v>34</v>
      </c>
      <c r="D46" s="6" t="n">
        <v>1993</v>
      </c>
      <c r="E46" s="7" t="n">
        <v>11380763.411128</v>
      </c>
      <c r="F46" s="8" t="n">
        <f aca="false">E46/E45-1</f>
        <v>0.0465138034030677</v>
      </c>
    </row>
    <row r="47" customFormat="false" ht="15" hidden="false" customHeight="false" outlineLevel="0" collapsed="false">
      <c r="A47" s="6" t="n">
        <v>2006</v>
      </c>
      <c r="B47" s="6" t="s">
        <v>35</v>
      </c>
      <c r="C47" s="6" t="s">
        <v>34</v>
      </c>
      <c r="D47" s="6" t="n">
        <v>1993</v>
      </c>
      <c r="E47" s="7" t="n">
        <v>12259303.9769339</v>
      </c>
      <c r="F47" s="8" t="n">
        <f aca="false">E47/E46-1</f>
        <v>0.0771952226813613</v>
      </c>
    </row>
    <row r="48" customFormat="false" ht="15" hidden="false" customHeight="false" outlineLevel="0" collapsed="false">
      <c r="A48" s="6" t="n">
        <v>2007</v>
      </c>
      <c r="B48" s="6" t="s">
        <v>35</v>
      </c>
      <c r="C48" s="6" t="s">
        <v>34</v>
      </c>
      <c r="D48" s="6" t="n">
        <v>1993</v>
      </c>
      <c r="E48" s="7" t="n">
        <v>12770718.6177133</v>
      </c>
      <c r="F48" s="8" t="n">
        <f aca="false">E48/E47-1</f>
        <v>0.0417164499503158</v>
      </c>
    </row>
    <row r="49" customFormat="false" ht="15" hidden="false" customHeight="false" outlineLevel="0" collapsed="false">
      <c r="A49" s="6" t="n">
        <v>2008</v>
      </c>
      <c r="B49" s="6" t="s">
        <v>35</v>
      </c>
      <c r="C49" s="6" t="s">
        <v>34</v>
      </c>
      <c r="D49" s="6" t="n">
        <v>1993</v>
      </c>
      <c r="E49" s="7" t="n">
        <v>13065173.9731364</v>
      </c>
      <c r="F49" s="8" t="n">
        <f aca="false">E49/E48-1</f>
        <v>0.0230570701804245</v>
      </c>
    </row>
    <row r="50" customFormat="false" ht="15" hidden="false" customHeight="false" outlineLevel="0" collapsed="false">
      <c r="A50" s="6" t="n">
        <v>2009</v>
      </c>
      <c r="B50" s="6" t="s">
        <v>35</v>
      </c>
      <c r="C50" s="6" t="s">
        <v>34</v>
      </c>
      <c r="D50" s="6" t="n">
        <v>1993</v>
      </c>
      <c r="E50" s="7" t="n">
        <v>12700761.7198551</v>
      </c>
      <c r="F50" s="8" t="n">
        <f aca="false">E50/E49-1</f>
        <v>-0.0278918791307805</v>
      </c>
    </row>
    <row r="51" customFormat="false" ht="15" hidden="false" customHeight="false" outlineLevel="0" collapsed="false">
      <c r="A51" s="6" t="n">
        <v>2010</v>
      </c>
      <c r="B51" s="6" t="s">
        <v>35</v>
      </c>
      <c r="C51" s="6" t="s">
        <v>34</v>
      </c>
      <c r="D51" s="6" t="n">
        <v>1993</v>
      </c>
      <c r="E51" s="7" t="n">
        <v>13262431.7233532</v>
      </c>
      <c r="F51" s="8" t="n">
        <f aca="false">E51/E50-1</f>
        <v>0.0442233321029912</v>
      </c>
    </row>
    <row r="52" customFormat="false" ht="15" hidden="false" customHeight="false" outlineLevel="0" collapsed="false">
      <c r="A52" s="6" t="n">
        <v>2011</v>
      </c>
      <c r="B52" s="6" t="s">
        <v>35</v>
      </c>
      <c r="C52" s="6" t="s">
        <v>34</v>
      </c>
      <c r="D52" s="6" t="n">
        <v>1993</v>
      </c>
      <c r="E52" s="7" t="n">
        <v>13739583.7038198</v>
      </c>
      <c r="F52" s="8" t="n">
        <f aca="false">E52/E51-1</f>
        <v>0.0359777143754412</v>
      </c>
    </row>
    <row r="53" customFormat="false" ht="15" hidden="false" customHeight="false" outlineLevel="0" collapsed="false">
      <c r="A53" s="6" t="n">
        <v>2012</v>
      </c>
      <c r="B53" s="6" t="s">
        <v>35</v>
      </c>
      <c r="C53" s="6" t="s">
        <v>34</v>
      </c>
      <c r="D53" s="6" t="n">
        <v>1993</v>
      </c>
      <c r="E53" s="7" t="n">
        <v>13545085.6393847</v>
      </c>
      <c r="F53" s="8" t="n">
        <f aca="false">E53/E52-1</f>
        <v>-0.0141560376666315</v>
      </c>
    </row>
    <row r="54" customFormat="false" ht="15" hidden="false" customHeight="false" outlineLevel="0" collapsed="false">
      <c r="A54" s="6" t="n">
        <v>2013</v>
      </c>
      <c r="B54" s="6" t="s">
        <v>35</v>
      </c>
      <c r="C54" s="6" t="s">
        <v>34</v>
      </c>
      <c r="D54" s="6" t="n">
        <v>1993</v>
      </c>
      <c r="E54" s="7" t="n">
        <v>14211513.6205183</v>
      </c>
      <c r="F54" s="8" t="n">
        <f aca="false">E54/E53-1</f>
        <v>0.0492007211232268</v>
      </c>
    </row>
    <row r="55" customFormat="false" ht="15" hidden="false" customHeight="false" outlineLevel="0" collapsed="false">
      <c r="A55" s="6" t="n">
        <v>2014</v>
      </c>
      <c r="B55" s="6" t="s">
        <v>35</v>
      </c>
      <c r="C55" s="6" t="s">
        <v>34</v>
      </c>
      <c r="D55" s="6" t="n">
        <v>1993</v>
      </c>
      <c r="E55" s="7" t="n">
        <v>13687924.0786476</v>
      </c>
      <c r="F55" s="8" t="n">
        <f aca="false">E55/E54-1</f>
        <v>-0.0368426302680859</v>
      </c>
    </row>
    <row r="56" customFormat="false" ht="15" hidden="false" customHeight="false" outlineLevel="0" collapsed="false">
      <c r="A56" s="6" t="n">
        <v>2015</v>
      </c>
      <c r="B56" s="6" t="s">
        <v>35</v>
      </c>
      <c r="C56" s="6" t="s">
        <v>34</v>
      </c>
      <c r="D56" s="6" t="n">
        <v>1993</v>
      </c>
      <c r="E56" s="7" t="n">
        <v>14189502.6768736</v>
      </c>
      <c r="F56" s="8" t="n">
        <f aca="false">E56/E55-1</f>
        <v>0.0366438764084318</v>
      </c>
    </row>
    <row r="57" customFormat="false" ht="15" hidden="false" customHeight="false" outlineLevel="0" collapsed="false">
      <c r="A57" s="6" t="n">
        <v>2016</v>
      </c>
      <c r="B57" s="6" t="s">
        <v>35</v>
      </c>
      <c r="C57" s="6" t="s">
        <v>34</v>
      </c>
      <c r="D57" s="6" t="n">
        <v>1993</v>
      </c>
      <c r="E57" s="7" t="n">
        <v>13373002.7599488</v>
      </c>
      <c r="F57" s="8" t="n">
        <f aca="false">E57/E56-1</f>
        <v>-0.0575425323577826</v>
      </c>
    </row>
    <row r="58" customFormat="false" ht="15" hidden="false" customHeight="false" outlineLevel="0" collapsed="false">
      <c r="A58" s="6" t="n">
        <v>2017</v>
      </c>
      <c r="B58" s="6" t="s">
        <v>35</v>
      </c>
      <c r="C58" s="6" t="s">
        <v>34</v>
      </c>
      <c r="D58" s="6" t="n">
        <v>1993</v>
      </c>
      <c r="E58" s="7" t="n">
        <v>13655492.409271</v>
      </c>
      <c r="F58" s="8" t="n">
        <f aca="false">E58/E57-1</f>
        <v>0.0211238757961143</v>
      </c>
    </row>
    <row r="59" customFormat="false" ht="15" hidden="false" customHeight="false" outlineLevel="0" collapsed="false">
      <c r="A59" s="6" t="n">
        <v>2018</v>
      </c>
      <c r="B59" s="6" t="s">
        <v>35</v>
      </c>
      <c r="C59" s="6" t="s">
        <v>34</v>
      </c>
      <c r="D59" s="6" t="n">
        <v>1993</v>
      </c>
      <c r="E59" s="7" t="n">
        <v>13585607.412423</v>
      </c>
      <c r="F59" s="8" t="n">
        <f aca="false">E59/E58-1</f>
        <v>-0.00511772074953099</v>
      </c>
    </row>
    <row r="60" customFormat="false" ht="15" hidden="false" customHeight="false" outlineLevel="0" collapsed="false">
      <c r="A60" s="6" t="n">
        <v>2019</v>
      </c>
      <c r="B60" s="6" t="s">
        <v>35</v>
      </c>
      <c r="C60" s="6" t="s">
        <v>34</v>
      </c>
      <c r="D60" s="6" t="n">
        <v>1993</v>
      </c>
      <c r="E60" s="7" t="n">
        <v>13410851.4459722</v>
      </c>
      <c r="F60" s="8" t="n">
        <f aca="false">E60/E59-1</f>
        <v>-0.0128633163866527</v>
      </c>
    </row>
    <row r="61" customFormat="false" ht="15" hidden="false" customHeight="false" outlineLevel="0" collapsed="false">
      <c r="A61" s="6" t="n">
        <v>2020</v>
      </c>
      <c r="B61" s="6" t="s">
        <v>35</v>
      </c>
      <c r="C61" s="6" t="s">
        <v>34</v>
      </c>
      <c r="D61" s="6" t="n">
        <v>1993</v>
      </c>
      <c r="E61" s="7" t="n">
        <v>12342645.8809737</v>
      </c>
      <c r="F61" s="8" t="n">
        <f aca="false">E61/E60-1</f>
        <v>-0.0796523300032025</v>
      </c>
    </row>
    <row r="62" customFormat="false" ht="15" hidden="false" customHeight="false" outlineLevel="0" collapsed="false">
      <c r="A62" s="6" t="n">
        <v>2021</v>
      </c>
      <c r="B62" s="6" t="s">
        <v>35</v>
      </c>
      <c r="C62" s="6" t="s">
        <v>34</v>
      </c>
      <c r="D62" s="6" t="n">
        <v>1993</v>
      </c>
      <c r="E62" s="7" t="n">
        <v>13635887.6469331</v>
      </c>
      <c r="F62" s="8" t="n">
        <f aca="false">E62/E61-1</f>
        <v>0.104778325363203</v>
      </c>
    </row>
    <row r="63" customFormat="false" ht="15" hidden="false" customHeight="false" outlineLevel="0" collapsed="false">
      <c r="A63" s="6" t="n">
        <v>2022</v>
      </c>
      <c r="B63" s="6" t="s">
        <v>35</v>
      </c>
      <c r="C63" s="6" t="s">
        <v>34</v>
      </c>
      <c r="D63" s="6" t="n">
        <v>1993</v>
      </c>
      <c r="E63" s="7" t="n">
        <v>14178694.4422819</v>
      </c>
      <c r="F63" s="8" t="n">
        <f aca="false">E63/E62-1</f>
        <v>0.0398072211654554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8"/>
  </cols>
  <sheetData>
    <row r="1" customFormat="false" ht="16.15" hidden="false" customHeight="false" outlineLevel="0" collapsed="false">
      <c r="A1" s="1" t="s">
        <v>36</v>
      </c>
      <c r="B1" s="1"/>
      <c r="C1" s="1"/>
      <c r="D1" s="1"/>
    </row>
    <row r="2" customFormat="false" ht="15" hidden="false" customHeight="false" outlineLevel="0" collapsed="false">
      <c r="A2" s="4" t="s">
        <v>37</v>
      </c>
      <c r="B2" s="4"/>
      <c r="C2" s="4"/>
      <c r="D2" s="4"/>
    </row>
    <row r="4" customFormat="false" ht="15" hidden="false" customHeight="false" outlineLevel="0" collapsed="false">
      <c r="A4" s="5" t="s">
        <v>23</v>
      </c>
      <c r="B4" s="5" t="s">
        <v>38</v>
      </c>
      <c r="C4" s="5" t="s">
        <v>28</v>
      </c>
    </row>
    <row r="5" customFormat="false" ht="15" hidden="false" customHeight="false" outlineLevel="0" collapsed="false">
      <c r="A5" s="6" t="n">
        <v>2004</v>
      </c>
      <c r="B5" s="7" t="n">
        <v>18742164.9781135</v>
      </c>
      <c r="C5" s="6"/>
    </row>
    <row r="6" customFormat="false" ht="15" hidden="false" customHeight="false" outlineLevel="0" collapsed="false">
      <c r="A6" s="6" t="n">
        <v>2005</v>
      </c>
      <c r="B6" s="7" t="n">
        <v>21705292.3126196</v>
      </c>
      <c r="C6" s="8" t="n">
        <f aca="false">B6/B5-1</f>
        <v>0.158099522545362</v>
      </c>
    </row>
    <row r="7" customFormat="false" ht="15" hidden="false" customHeight="false" outlineLevel="0" collapsed="false">
      <c r="A7" s="6" t="n">
        <v>2006</v>
      </c>
      <c r="B7" s="7" t="n">
        <v>25989780.8096347</v>
      </c>
      <c r="C7" s="8" t="n">
        <f aca="false">B7/B6-1</f>
        <v>0.197393724779464</v>
      </c>
    </row>
    <row r="8" customFormat="false" ht="15" hidden="false" customHeight="false" outlineLevel="0" collapsed="false">
      <c r="A8" s="6" t="n">
        <v>2007</v>
      </c>
      <c r="B8" s="7" t="n">
        <v>31491830.893817</v>
      </c>
      <c r="C8" s="8" t="n">
        <f aca="false">B8/B7-1</f>
        <v>0.211700518926371</v>
      </c>
    </row>
    <row r="9" customFormat="false" ht="15" hidden="false" customHeight="false" outlineLevel="0" collapsed="false">
      <c r="A9" s="6" t="n">
        <v>2008</v>
      </c>
      <c r="B9" s="7" t="n">
        <v>38997291.5155849</v>
      </c>
      <c r="C9" s="8" t="n">
        <f aca="false">B9/B8-1</f>
        <v>0.238330398987426</v>
      </c>
    </row>
    <row r="10" customFormat="false" ht="15" hidden="false" customHeight="false" outlineLevel="0" collapsed="false">
      <c r="A10" s="6" t="n">
        <v>2009</v>
      </c>
      <c r="B10" s="7" t="n">
        <v>42718111.1246798</v>
      </c>
      <c r="C10" s="8" t="n">
        <f aca="false">B10/B9-1</f>
        <v>0.0954122572232463</v>
      </c>
    </row>
    <row r="11" customFormat="false" ht="15" hidden="false" customHeight="false" outlineLevel="0" collapsed="false">
      <c r="A11" s="6" t="n">
        <v>2010</v>
      </c>
      <c r="B11" s="7" t="n">
        <v>53282204.4232698</v>
      </c>
      <c r="C11" s="8" t="n">
        <f aca="false">B11/B10-1</f>
        <v>0.247297762481983</v>
      </c>
    </row>
    <row r="12" customFormat="false" ht="15" hidden="false" customHeight="false" outlineLevel="0" collapsed="false">
      <c r="A12" s="6" t="n">
        <v>2011</v>
      </c>
      <c r="B12" s="7" t="n">
        <v>66868626.2783319</v>
      </c>
      <c r="C12" s="8" t="n">
        <f aca="false">B12/B11-1</f>
        <v>0.254989860162928</v>
      </c>
    </row>
    <row r="13" customFormat="false" ht="15" hidden="false" customHeight="false" outlineLevel="0" collapsed="false">
      <c r="A13" s="6" t="n">
        <v>2012</v>
      </c>
      <c r="B13" s="7" t="n">
        <v>80942510.660713</v>
      </c>
      <c r="C13" s="8" t="n">
        <f aca="false">B13/B12-1</f>
        <v>0.210470667122731</v>
      </c>
    </row>
    <row r="14" customFormat="false" ht="15" hidden="false" customHeight="false" outlineLevel="0" collapsed="false">
      <c r="A14" s="6" t="n">
        <v>2013</v>
      </c>
      <c r="B14" s="7" t="n">
        <v>101855984.893814</v>
      </c>
      <c r="C14" s="8" t="n">
        <f aca="false">B14/B13-1</f>
        <v>0.258374419849218</v>
      </c>
    </row>
    <row r="15" customFormat="false" ht="15" hidden="false" customHeight="false" outlineLevel="0" collapsed="false">
      <c r="A15" s="6" t="n">
        <v>2014</v>
      </c>
      <c r="B15" s="7" t="n">
        <v>132189446.004391</v>
      </c>
      <c r="C15" s="8" t="n">
        <f aca="false">B15/B14-1</f>
        <v>0.297807351646544</v>
      </c>
    </row>
    <row r="16" customFormat="false" ht="15" hidden="false" customHeight="false" outlineLevel="0" collapsed="false">
      <c r="A16" s="6" t="n">
        <v>2015</v>
      </c>
      <c r="B16" s="7" t="n">
        <v>166195346.178194</v>
      </c>
      <c r="C16" s="8" t="n">
        <f aca="false">B16/B15-1</f>
        <v>0.257251249639649</v>
      </c>
    </row>
    <row r="17" customFormat="false" ht="15" hidden="false" customHeight="false" outlineLevel="0" collapsed="false">
      <c r="A17" s="6" t="n">
        <v>2016</v>
      </c>
      <c r="B17" s="7" t="n">
        <v>222509516.965134</v>
      </c>
      <c r="C17" s="8" t="n">
        <f aca="false">B17/B16-1</f>
        <v>0.338843247310675</v>
      </c>
    </row>
    <row r="18" customFormat="false" ht="15" hidden="false" customHeight="false" outlineLevel="0" collapsed="false">
      <c r="A18" s="6" t="n">
        <v>2017</v>
      </c>
      <c r="B18" s="7" t="n">
        <v>281052725.915867</v>
      </c>
      <c r="C18" s="8" t="n">
        <f aca="false">B18/B17-1</f>
        <v>0.26310429211846</v>
      </c>
    </row>
    <row r="19" customFormat="false" ht="15" hidden="false" customHeight="false" outlineLevel="0" collapsed="false">
      <c r="A19" s="6" t="n">
        <v>2018</v>
      </c>
      <c r="B19" s="7" t="n">
        <v>391618339.808091</v>
      </c>
      <c r="C19" s="8" t="n">
        <f aca="false">B19/B18-1</f>
        <v>0.393398119630131</v>
      </c>
    </row>
    <row r="20" customFormat="false" ht="15" hidden="false" customHeight="false" outlineLevel="0" collapsed="false">
      <c r="A20" s="6" t="n">
        <v>2019</v>
      </c>
      <c r="B20" s="7" t="n">
        <v>564916252.673705</v>
      </c>
      <c r="C20" s="8" t="n">
        <f aca="false">B20/B19-1</f>
        <v>0.44251735746221</v>
      </c>
    </row>
    <row r="21" customFormat="false" ht="15" hidden="false" customHeight="false" outlineLevel="0" collapsed="false">
      <c r="A21" s="6" t="n">
        <v>2020</v>
      </c>
      <c r="B21" s="7" t="n">
        <v>739953122.15122</v>
      </c>
      <c r="C21" s="8" t="n">
        <f aca="false">B21/B20-1</f>
        <v>0.309845695975428</v>
      </c>
    </row>
    <row r="22" customFormat="false" ht="15" hidden="false" customHeight="false" outlineLevel="0" collapsed="false">
      <c r="A22" s="6" t="n">
        <v>2021</v>
      </c>
      <c r="B22" s="7" t="n">
        <v>1166100443.59216</v>
      </c>
      <c r="C22" s="8" t="n">
        <f aca="false">B22/B21-1</f>
        <v>0.575911241785186</v>
      </c>
    </row>
    <row r="23" customFormat="false" ht="15" hidden="false" customHeight="false" outlineLevel="0" collapsed="false">
      <c r="A23" s="6" t="n">
        <v>2022</v>
      </c>
      <c r="B23" s="7" t="n">
        <v>2209050309.26683</v>
      </c>
      <c r="C23" s="8" t="n">
        <f aca="false">B23/B22-1</f>
        <v>0.894391106191406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s>
  <sheetData>
    <row r="1" customFormat="false" ht="16.15" hidden="false" customHeight="false" outlineLevel="0" collapsed="false">
      <c r="A1" s="1" t="s">
        <v>39</v>
      </c>
      <c r="B1" s="1"/>
    </row>
    <row r="3" customFormat="false" ht="15" hidden="false" customHeight="false" outlineLevel="0" collapsed="false">
      <c r="A3" s="5" t="s">
        <v>23</v>
      </c>
      <c r="B3" s="5" t="s">
        <v>40</v>
      </c>
    </row>
    <row r="4" customFormat="false" ht="15" hidden="false" customHeight="false" outlineLevel="0" collapsed="false">
      <c r="A4" s="6" t="n">
        <v>1970</v>
      </c>
      <c r="B4" s="9" t="n">
        <v>4.75360833333333E-010</v>
      </c>
    </row>
    <row r="5" customFormat="false" ht="15" hidden="false" customHeight="false" outlineLevel="0" collapsed="false">
      <c r="A5" s="6" t="n">
        <v>1971</v>
      </c>
      <c r="B5" s="9" t="n">
        <v>6.4042E-010</v>
      </c>
    </row>
    <row r="6" customFormat="false" ht="15" hidden="false" customHeight="false" outlineLevel="0" collapsed="false">
      <c r="A6" s="6" t="n">
        <v>1972</v>
      </c>
      <c r="B6" s="9" t="n">
        <v>1.01477666666667E-009</v>
      </c>
    </row>
    <row r="7" customFormat="false" ht="15" hidden="false" customHeight="false" outlineLevel="0" collapsed="false">
      <c r="A7" s="6" t="n">
        <v>1973</v>
      </c>
      <c r="B7" s="9" t="n">
        <v>1.62672083333333E-009</v>
      </c>
    </row>
    <row r="8" customFormat="false" ht="15" hidden="false" customHeight="false" outlineLevel="0" collapsed="false">
      <c r="A8" s="6" t="n">
        <v>1974</v>
      </c>
      <c r="B8" s="9" t="n">
        <v>2.02065416666667E-009</v>
      </c>
    </row>
    <row r="9" customFormat="false" ht="15" hidden="false" customHeight="false" outlineLevel="0" collapsed="false">
      <c r="A9" s="6" t="n">
        <v>1975</v>
      </c>
      <c r="B9" s="9" t="n">
        <v>5.71426666666667E-009</v>
      </c>
    </row>
    <row r="10" customFormat="false" ht="15" hidden="false" customHeight="false" outlineLevel="0" collapsed="false">
      <c r="A10" s="6" t="n">
        <v>1976</v>
      </c>
      <c r="B10" s="9" t="n">
        <v>3.10863E-008</v>
      </c>
    </row>
    <row r="11" customFormat="false" ht="15" hidden="false" customHeight="false" outlineLevel="0" collapsed="false">
      <c r="A11" s="6" t="n">
        <v>1977</v>
      </c>
      <c r="B11" s="9" t="n">
        <v>8.580805E-008</v>
      </c>
    </row>
    <row r="12" customFormat="false" ht="15" hidden="false" customHeight="false" outlineLevel="0" collapsed="false">
      <c r="A12" s="6" t="n">
        <v>1978</v>
      </c>
      <c r="B12" s="9" t="n">
        <v>2.3640875E-007</v>
      </c>
    </row>
    <row r="13" customFormat="false" ht="15" hidden="false" customHeight="false" outlineLevel="0" collapsed="false">
      <c r="A13" s="6" t="n">
        <v>1979</v>
      </c>
      <c r="B13" s="9" t="n">
        <v>6.13506833333334E-007</v>
      </c>
    </row>
    <row r="14" customFormat="false" ht="15" hidden="false" customHeight="false" outlineLevel="0" collapsed="false">
      <c r="A14" s="6" t="n">
        <v>1980</v>
      </c>
      <c r="B14" s="9" t="n">
        <v>1.231702E-006</v>
      </c>
    </row>
    <row r="15" customFormat="false" ht="15" hidden="false" customHeight="false" outlineLevel="0" collapsed="false">
      <c r="A15" s="6" t="n">
        <v>1981</v>
      </c>
      <c r="B15" s="9" t="n">
        <v>2.51855E-006</v>
      </c>
    </row>
    <row r="16" customFormat="false" ht="15" hidden="false" customHeight="false" outlineLevel="0" collapsed="false">
      <c r="A16" s="6" t="n">
        <v>1982</v>
      </c>
      <c r="B16" s="9" t="n">
        <v>6.66858333333333E-006</v>
      </c>
    </row>
    <row r="17" customFormat="false" ht="15" hidden="false" customHeight="false" outlineLevel="0" collapsed="false">
      <c r="A17" s="6" t="n">
        <v>1983</v>
      </c>
      <c r="B17" s="9" t="n">
        <v>2.95951416666667E-005</v>
      </c>
    </row>
    <row r="18" customFormat="false" ht="15" hidden="false" customHeight="false" outlineLevel="0" collapsed="false">
      <c r="A18" s="6" t="n">
        <v>1984</v>
      </c>
      <c r="B18" s="9" t="n">
        <v>0.000215077833333333</v>
      </c>
    </row>
    <row r="19" customFormat="false" ht="15" hidden="false" customHeight="false" outlineLevel="0" collapsed="false">
      <c r="A19" s="6" t="n">
        <v>1985</v>
      </c>
      <c r="B19" s="9" t="n">
        <v>0.0016607925</v>
      </c>
    </row>
    <row r="20" customFormat="false" ht="15" hidden="false" customHeight="false" outlineLevel="0" collapsed="false">
      <c r="A20" s="6" t="n">
        <v>1986</v>
      </c>
      <c r="B20" s="9" t="n">
        <v>0.00315700416666667</v>
      </c>
    </row>
    <row r="21" customFormat="false" ht="15" hidden="false" customHeight="false" outlineLevel="0" collapsed="false">
      <c r="A21" s="6" t="n">
        <v>1987</v>
      </c>
      <c r="B21" s="9" t="n">
        <v>0.00730324166666667</v>
      </c>
    </row>
    <row r="22" customFormat="false" ht="15" hidden="false" customHeight="false" outlineLevel="0" collapsed="false">
      <c r="A22" s="6" t="n">
        <v>1988</v>
      </c>
      <c r="B22" s="9" t="n">
        <v>0.03235</v>
      </c>
    </row>
    <row r="23" customFormat="false" ht="15" hidden="false" customHeight="false" outlineLevel="0" collapsed="false">
      <c r="A23" s="6" t="n">
        <v>1989</v>
      </c>
      <c r="B23" s="9" t="n">
        <v>1.02855358333333</v>
      </c>
    </row>
    <row r="24" customFormat="false" ht="15" hidden="false" customHeight="false" outlineLevel="0" collapsed="false">
      <c r="A24" s="6" t="n">
        <v>1990</v>
      </c>
      <c r="B24" s="9" t="n">
        <v>24.8289</v>
      </c>
    </row>
    <row r="25" customFormat="false" ht="15" hidden="false" customHeight="false" outlineLevel="0" collapsed="false">
      <c r="A25" s="6" t="n">
        <v>1991</v>
      </c>
      <c r="B25" s="9" t="n">
        <v>67.4531</v>
      </c>
    </row>
    <row r="26" customFormat="false" ht="15" hidden="false" customHeight="false" outlineLevel="0" collapsed="false">
      <c r="A26" s="6" t="n">
        <v>1992</v>
      </c>
      <c r="B26" s="9" t="n">
        <v>84.2489</v>
      </c>
    </row>
    <row r="27" customFormat="false" ht="15" hidden="false" customHeight="false" outlineLevel="0" collapsed="false">
      <c r="A27" s="6" t="n">
        <v>1993</v>
      </c>
      <c r="B27" s="9" t="n">
        <v>93.189</v>
      </c>
    </row>
    <row r="28" customFormat="false" ht="15" hidden="false" customHeight="false" outlineLevel="0" collapsed="false">
      <c r="A28" s="6" t="n">
        <v>1994</v>
      </c>
      <c r="B28" s="9" t="n">
        <v>97.0818</v>
      </c>
    </row>
    <row r="29" customFormat="false" ht="15" hidden="false" customHeight="false" outlineLevel="0" collapsed="false">
      <c r="A29" s="6" t="n">
        <v>1995</v>
      </c>
      <c r="B29" s="9" t="n">
        <v>100.3594</v>
      </c>
    </row>
    <row r="30" customFormat="false" ht="15" hidden="false" customHeight="false" outlineLevel="0" collapsed="false">
      <c r="A30" s="6" t="n">
        <v>1996</v>
      </c>
      <c r="B30" s="9" t="n">
        <v>100.5156</v>
      </c>
    </row>
    <row r="31" customFormat="false" ht="15" hidden="false" customHeight="false" outlineLevel="0" collapsed="false">
      <c r="A31" s="6" t="n">
        <v>1997</v>
      </c>
      <c r="B31" s="9" t="n">
        <v>101.0469</v>
      </c>
    </row>
    <row r="32" customFormat="false" ht="15" hidden="false" customHeight="false" outlineLevel="0" collapsed="false">
      <c r="A32" s="6" t="n">
        <v>1998</v>
      </c>
      <c r="B32" s="9" t="n">
        <v>101.9813</v>
      </c>
    </row>
    <row r="33" customFormat="false" ht="15" hidden="false" customHeight="false" outlineLevel="0" collapsed="false">
      <c r="A33" s="6" t="n">
        <v>1999</v>
      </c>
      <c r="B33" s="9" t="n">
        <v>100.7915</v>
      </c>
    </row>
    <row r="34" customFormat="false" ht="15" hidden="false" customHeight="false" outlineLevel="0" collapsed="false">
      <c r="A34" s="6" t="n">
        <v>2000</v>
      </c>
      <c r="B34" s="9" t="n">
        <v>99.8449</v>
      </c>
    </row>
    <row r="35" customFormat="false" ht="15" hidden="false" customHeight="false" outlineLevel="0" collapsed="false">
      <c r="A35" s="6" t="n">
        <v>2001</v>
      </c>
      <c r="B35" s="9" t="n">
        <v>98.7816666666667</v>
      </c>
    </row>
    <row r="36" customFormat="false" ht="15" hidden="false" customHeight="false" outlineLevel="0" collapsed="false">
      <c r="A36" s="6" t="n">
        <v>2002</v>
      </c>
      <c r="B36" s="9" t="n">
        <v>124.335</v>
      </c>
    </row>
    <row r="37" customFormat="false" ht="15" hidden="false" customHeight="false" outlineLevel="0" collapsed="false">
      <c r="A37" s="6" t="n">
        <v>2003</v>
      </c>
      <c r="B37" s="9" t="n">
        <v>141.05</v>
      </c>
    </row>
    <row r="38" customFormat="false" ht="15" hidden="false" customHeight="false" outlineLevel="0" collapsed="false">
      <c r="A38" s="6" t="n">
        <v>2004</v>
      </c>
      <c r="B38" s="9" t="n">
        <v>147.28</v>
      </c>
    </row>
    <row r="39" customFormat="false" ht="15" hidden="false" customHeight="false" outlineLevel="0" collapsed="false">
      <c r="A39" s="6" t="n">
        <v>2005</v>
      </c>
      <c r="B39" s="9" t="n">
        <v>167.48</v>
      </c>
    </row>
    <row r="40" customFormat="false" ht="15" hidden="false" customHeight="false" outlineLevel="0" collapsed="false">
      <c r="A40" s="6" t="n">
        <v>2006</v>
      </c>
      <c r="B40" s="9" t="n">
        <v>179.08</v>
      </c>
    </row>
    <row r="41" customFormat="false" ht="15" hidden="false" customHeight="false" outlineLevel="0" collapsed="false">
      <c r="A41" s="6" t="n">
        <v>2007</v>
      </c>
      <c r="B41" s="9" t="n">
        <v>194.89</v>
      </c>
    </row>
    <row r="42" customFormat="false" ht="15" hidden="false" customHeight="false" outlineLevel="0" collapsed="false">
      <c r="A42" s="6" t="n">
        <v>2008</v>
      </c>
      <c r="B42" s="9" t="n">
        <v>238.54536</v>
      </c>
    </row>
    <row r="43" customFormat="false" ht="15" hidden="false" customHeight="false" outlineLevel="0" collapsed="false">
      <c r="A43" s="6" t="n">
        <v>2009</v>
      </c>
      <c r="B43" s="9" t="n">
        <v>287.92424952</v>
      </c>
    </row>
    <row r="44" customFormat="false" ht="15" hidden="false" customHeight="false" outlineLevel="0" collapsed="false">
      <c r="A44" s="6" t="n">
        <v>2010</v>
      </c>
      <c r="B44" s="9" t="n">
        <v>334.56797794224</v>
      </c>
    </row>
    <row r="45" customFormat="false" ht="15" hidden="false" customHeight="false" outlineLevel="0" collapsed="false">
      <c r="A45" s="6" t="n">
        <v>2011</v>
      </c>
      <c r="B45" s="9" t="n">
        <v>427.912443788125</v>
      </c>
    </row>
    <row r="46" customFormat="false" ht="15" hidden="false" customHeight="false" outlineLevel="0" collapsed="false">
      <c r="A46" s="6" t="n">
        <v>2012</v>
      </c>
      <c r="B46" s="9" t="n">
        <v>527.616043190758</v>
      </c>
    </row>
    <row r="47" customFormat="false" ht="15" hidden="false" customHeight="false" outlineLevel="0" collapsed="false">
      <c r="A47" s="6" t="n">
        <v>2013</v>
      </c>
      <c r="B47" s="9" t="n">
        <v>650.550581254205</v>
      </c>
    </row>
    <row r="48" customFormat="false" ht="15" hidden="false" customHeight="false" outlineLevel="0" collapsed="false">
      <c r="A48" s="6" t="n">
        <v>2014</v>
      </c>
      <c r="B48" s="9" t="n">
        <v>844.414654467958</v>
      </c>
    </row>
    <row r="49" customFormat="false" ht="15" hidden="false" customHeight="false" outlineLevel="0" collapsed="false">
      <c r="A49" s="6" t="n">
        <v>2015</v>
      </c>
      <c r="B49" s="9" t="n">
        <v>1192.31349210876</v>
      </c>
    </row>
    <row r="50" customFormat="false" ht="15" hidden="false" customHeight="false" outlineLevel="0" collapsed="false">
      <c r="A50" s="6" t="n">
        <v>2016</v>
      </c>
      <c r="B50" s="9" t="n">
        <v>1513.04582148601</v>
      </c>
    </row>
    <row r="51" customFormat="false" ht="15" hidden="false" customHeight="false" outlineLevel="0" collapsed="false">
      <c r="A51" s="6" t="n">
        <v>2017</v>
      </c>
      <c r="B51" s="9" t="n">
        <v>2066.82059214989</v>
      </c>
    </row>
    <row r="52" customFormat="false" ht="15" hidden="false" customHeight="false" outlineLevel="0" collapsed="false">
      <c r="A52" s="6" t="n">
        <v>2018</v>
      </c>
      <c r="B52" s="9" t="n">
        <v>2546.32296952867</v>
      </c>
    </row>
    <row r="53" customFormat="false" ht="15" hidden="false" customHeight="false" outlineLevel="0" collapsed="false">
      <c r="A53" s="6" t="n">
        <v>2019</v>
      </c>
      <c r="B53" s="9" t="n">
        <v>3860.22562180546</v>
      </c>
    </row>
    <row r="54" customFormat="false" ht="15" hidden="false" customHeight="false" outlineLevel="0" collapsed="false">
      <c r="A54" s="6" t="n">
        <v>2020</v>
      </c>
      <c r="B54" s="9" t="n">
        <v>5921.58610384958</v>
      </c>
    </row>
    <row r="55" customFormat="false" ht="15" hidden="false" customHeight="false" outlineLevel="0" collapsed="false">
      <c r="A55" s="6" t="n">
        <v>2021</v>
      </c>
      <c r="B55" s="9" t="n">
        <v>8136.25930668932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s>
  <sheetData>
    <row r="1" customFormat="false" ht="16.15" hidden="false" customHeight="false" outlineLevel="0" collapsed="false">
      <c r="A1" s="1" t="s">
        <v>41</v>
      </c>
      <c r="B1" s="1"/>
      <c r="C1" s="1"/>
      <c r="D1" s="1"/>
    </row>
    <row r="3" customFormat="false" ht="15" hidden="false" customHeight="false" outlineLevel="0" collapsed="false">
      <c r="A3" s="4" t="s">
        <v>42</v>
      </c>
      <c r="B3" s="4"/>
      <c r="C3" s="4"/>
      <c r="D3" s="4"/>
    </row>
    <row r="5" customFormat="false" ht="15" hidden="false" customHeight="false" outlineLevel="0" collapsed="false">
      <c r="A5" s="2" t="s">
        <v>43</v>
      </c>
      <c r="B5" s="10" t="n">
        <f aca="false">'PBG por tramo'!E33/'PBG por tramo'!E29</f>
        <v>26.136104337888</v>
      </c>
    </row>
    <row r="7" customFormat="false" ht="15" hidden="false" customHeight="false" outlineLevel="0" collapsed="false">
      <c r="A7" s="2" t="s">
        <v>44</v>
      </c>
    </row>
    <row r="8" customFormat="false" ht="15" hidden="false" customHeight="false" outlineLevel="0" collapsed="false">
      <c r="A8" s="2" t="s">
        <v>45</v>
      </c>
      <c r="B8" s="10" t="n">
        <f aca="false">'IPC INDEC'!B33/'IPC INDEC'!B27</f>
        <v>1.08158151713185</v>
      </c>
    </row>
    <row r="10" customFormat="false" ht="15" hidden="false" customHeight="false" outlineLevel="0" collapsed="false">
      <c r="A10" s="2" t="s">
        <v>46</v>
      </c>
    </row>
    <row r="11" customFormat="false" ht="60" hidden="false" customHeight="true" outlineLevel="0" collapsed="false">
      <c r="A11" s="11" t="s">
        <v>47</v>
      </c>
      <c r="B11" s="11"/>
      <c r="C11" s="11"/>
      <c r="D11" s="11"/>
    </row>
    <row r="12" customFormat="false" ht="15" hidden="false" customHeight="false" outlineLevel="0" collapsed="false">
      <c r="A12" s="11"/>
      <c r="B12" s="11"/>
      <c r="C12" s="11"/>
      <c r="D12" s="11"/>
    </row>
    <row r="13" customFormat="false" ht="15" hidden="false" customHeight="false" outlineLevel="0" collapsed="false">
      <c r="A13" s="11"/>
      <c r="B13" s="11"/>
      <c r="C13" s="11"/>
      <c r="D13" s="11"/>
    </row>
    <row r="14" customFormat="false" ht="15" hidden="false" customHeight="false" outlineLevel="0" collapsed="false">
      <c r="A14" s="11"/>
      <c r="B14" s="11"/>
      <c r="C14" s="11"/>
      <c r="D14" s="11"/>
    </row>
  </sheetData>
  <mergeCells count="3">
    <mergeCell ref="A1:D1"/>
    <mergeCell ref="A3:D3"/>
    <mergeCell ref="A11: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8"/>
  </cols>
  <sheetData>
    <row r="1" customFormat="false" ht="16.15" hidden="false" customHeight="false" outlineLevel="0" collapsed="false">
      <c r="A1" s="1" t="s">
        <v>48</v>
      </c>
      <c r="B1" s="1"/>
      <c r="C1" s="1"/>
    </row>
    <row r="2" customFormat="false" ht="15" hidden="false" customHeight="false" outlineLevel="0" collapsed="false">
      <c r="A2" s="4" t="s">
        <v>49</v>
      </c>
      <c r="B2" s="4"/>
      <c r="C2" s="4"/>
    </row>
    <row r="4" customFormat="false" ht="15" hidden="false" customHeight="false" outlineLevel="0" collapsed="false">
      <c r="A4" s="5" t="s">
        <v>23</v>
      </c>
      <c r="B4" s="5" t="s">
        <v>50</v>
      </c>
      <c r="C4" s="5" t="s">
        <v>51</v>
      </c>
    </row>
    <row r="5" customFormat="false" ht="15" hidden="false" customHeight="false" outlineLevel="0" collapsed="false">
      <c r="A5" s="6" t="n">
        <v>1970</v>
      </c>
      <c r="B5" s="7" t="n">
        <f aca="false">'PBG por tramo'!E5</f>
        <v>313.43</v>
      </c>
      <c r="C5" s="7" t="n">
        <f aca="false">B5/B$5*100</f>
        <v>100</v>
      </c>
    </row>
    <row r="6" customFormat="false" ht="15" hidden="false" customHeight="false" outlineLevel="0" collapsed="false">
      <c r="A6" s="6" t="n">
        <v>1971</v>
      </c>
      <c r="B6" s="7" t="n">
        <f aca="false">'PBG por tramo'!E6</f>
        <v>334.41</v>
      </c>
      <c r="C6" s="7" t="n">
        <f aca="false">B6/B$5*100</f>
        <v>106.693679609482</v>
      </c>
    </row>
    <row r="7" customFormat="false" ht="15" hidden="false" customHeight="false" outlineLevel="0" collapsed="false">
      <c r="A7" s="6" t="n">
        <v>1972</v>
      </c>
      <c r="B7" s="7" t="n">
        <f aca="false">'PBG por tramo'!E7</f>
        <v>356.26</v>
      </c>
      <c r="C7" s="7" t="n">
        <f aca="false">B7/B$5*100</f>
        <v>113.664933158919</v>
      </c>
    </row>
    <row r="8" customFormat="false" ht="15" hidden="false" customHeight="false" outlineLevel="0" collapsed="false">
      <c r="A8" s="6" t="n">
        <v>1973</v>
      </c>
      <c r="B8" s="7" t="n">
        <f aca="false">'PBG por tramo'!E8</f>
        <v>364.33</v>
      </c>
      <c r="C8" s="7" t="n">
        <f aca="false">B8/B$5*100</f>
        <v>116.239670739878</v>
      </c>
    </row>
    <row r="9" customFormat="false" ht="15" hidden="false" customHeight="false" outlineLevel="0" collapsed="false">
      <c r="A9" s="6" t="n">
        <v>1974</v>
      </c>
      <c r="B9" s="7" t="n">
        <f aca="false">'PBG por tramo'!E9</f>
        <v>406.37</v>
      </c>
      <c r="C9" s="7" t="n">
        <f aca="false">B9/B$5*100</f>
        <v>129.652553999298</v>
      </c>
    </row>
    <row r="10" customFormat="false" ht="15" hidden="false" customHeight="false" outlineLevel="0" collapsed="false">
      <c r="A10" s="6" t="n">
        <v>1975</v>
      </c>
      <c r="B10" s="7" t="n">
        <f aca="false">'PBG por tramo'!E10</f>
        <v>355.2</v>
      </c>
      <c r="C10" s="7" t="n">
        <f aca="false">B10/B$5*100</f>
        <v>113.326739622882</v>
      </c>
    </row>
    <row r="11" customFormat="false" ht="15" hidden="false" customHeight="false" outlineLevel="0" collapsed="false">
      <c r="A11" s="6" t="n">
        <v>1976</v>
      </c>
      <c r="B11" s="7" t="n">
        <f aca="false">'PBG por tramo'!E11</f>
        <v>404.05</v>
      </c>
      <c r="C11" s="7" t="n">
        <f aca="false">B11/B$5*100</f>
        <v>128.912356826086</v>
      </c>
    </row>
    <row r="12" customFormat="false" ht="15" hidden="false" customHeight="false" outlineLevel="0" collapsed="false">
      <c r="A12" s="6" t="n">
        <v>1977</v>
      </c>
      <c r="B12" s="7" t="n">
        <f aca="false">'PBG por tramo'!E12</f>
        <v>380.63</v>
      </c>
      <c r="C12" s="7" t="n">
        <f aca="false">B12/B$5*100</f>
        <v>121.440193982707</v>
      </c>
    </row>
    <row r="13" customFormat="false" ht="15" hidden="false" customHeight="false" outlineLevel="0" collapsed="false">
      <c r="A13" s="6" t="n">
        <v>1978</v>
      </c>
      <c r="B13" s="7" t="n">
        <f aca="false">'PBG por tramo'!E13</f>
        <v>423.6</v>
      </c>
      <c r="C13" s="7" t="n">
        <f aca="false">B13/B$5*100</f>
        <v>135.149794212424</v>
      </c>
    </row>
    <row r="14" customFormat="false" ht="15" hidden="false" customHeight="false" outlineLevel="0" collapsed="false">
      <c r="A14" s="6" t="n">
        <v>1979</v>
      </c>
      <c r="B14" s="7" t="n">
        <f aca="false">'PBG por tramo'!E14</f>
        <v>481.05</v>
      </c>
      <c r="C14" s="7" t="n">
        <f aca="false">B14/B$5*100</f>
        <v>153.479245764605</v>
      </c>
    </row>
    <row r="15" customFormat="false" ht="15" hidden="false" customHeight="false" outlineLevel="0" collapsed="false">
      <c r="A15" s="6" t="n">
        <v>1980</v>
      </c>
      <c r="B15" s="7" t="n">
        <f aca="false">'PBG por tramo'!E15</f>
        <v>429.24</v>
      </c>
      <c r="C15" s="7" t="n">
        <f aca="false">B15/B$5*100</f>
        <v>136.949239064544</v>
      </c>
    </row>
    <row r="16" customFormat="false" ht="15" hidden="false" customHeight="false" outlineLevel="0" collapsed="false">
      <c r="A16" s="6" t="n">
        <v>1981</v>
      </c>
      <c r="B16" s="7" t="n">
        <f aca="false">'PBG por tramo'!E16</f>
        <v>351.83</v>
      </c>
      <c r="C16" s="7" t="n">
        <f aca="false">B16/B$5*100</f>
        <v>112.25153941869</v>
      </c>
    </row>
    <row r="17" customFormat="false" ht="15" hidden="false" customHeight="false" outlineLevel="0" collapsed="false">
      <c r="A17" s="6" t="n">
        <v>1982</v>
      </c>
      <c r="B17" s="7" t="n">
        <f aca="false">'PBG por tramo'!E17</f>
        <v>360.43</v>
      </c>
      <c r="C17" s="7" t="n">
        <f aca="false">B17/B$5*100</f>
        <v>114.995373767667</v>
      </c>
    </row>
    <row r="18" customFormat="false" ht="15" hidden="false" customHeight="false" outlineLevel="0" collapsed="false">
      <c r="A18" s="6" t="n">
        <v>1983</v>
      </c>
      <c r="B18" s="7" t="n">
        <f aca="false">'PBG por tramo'!E18</f>
        <v>419.26</v>
      </c>
      <c r="C18" s="7" t="n">
        <f aca="false">B18/B$5*100</f>
        <v>133.765115017707</v>
      </c>
    </row>
    <row r="19" customFormat="false" ht="15" hidden="false" customHeight="false" outlineLevel="0" collapsed="false">
      <c r="A19" s="6" t="n">
        <v>1984</v>
      </c>
      <c r="B19" s="7" t="n">
        <f aca="false">'PBG por tramo'!E19</f>
        <v>404.44</v>
      </c>
      <c r="C19" s="7" t="n">
        <f aca="false">B19/B$5*100</f>
        <v>129.036786523307</v>
      </c>
    </row>
    <row r="20" customFormat="false" ht="15" hidden="false" customHeight="false" outlineLevel="0" collapsed="false">
      <c r="A20" s="6" t="n">
        <v>1985</v>
      </c>
      <c r="B20" s="7" t="n">
        <f aca="false">'PBG por tramo'!E20</f>
        <v>384.61</v>
      </c>
      <c r="C20" s="7" t="n">
        <f aca="false">B20/B$5*100</f>
        <v>122.710014995374</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26"/>
    <col collapsed="false" customWidth="true" hidden="false" outlineLevel="0" max="4" min="4" style="0" width="18"/>
  </cols>
  <sheetData>
    <row r="1" customFormat="false" ht="16.15" hidden="false" customHeight="false" outlineLevel="0" collapsed="false">
      <c r="A1" s="1" t="s">
        <v>52</v>
      </c>
      <c r="B1" s="1"/>
      <c r="C1" s="1"/>
      <c r="D1" s="1"/>
    </row>
    <row r="2" customFormat="false" ht="15" hidden="false" customHeight="false" outlineLevel="0" collapsed="false">
      <c r="A2" s="4" t="s">
        <v>53</v>
      </c>
      <c r="B2" s="4"/>
      <c r="C2" s="4"/>
      <c r="D2" s="4"/>
    </row>
    <row r="4" customFormat="false" ht="15" hidden="false" customHeight="false" outlineLevel="0" collapsed="false">
      <c r="A4" s="5" t="s">
        <v>23</v>
      </c>
      <c r="B4" s="5" t="s">
        <v>54</v>
      </c>
      <c r="C4" s="5" t="s">
        <v>55</v>
      </c>
      <c r="D4" s="5" t="s">
        <v>28</v>
      </c>
    </row>
    <row r="5" customFormat="false" ht="15" hidden="false" customHeight="false" outlineLevel="0" collapsed="false">
      <c r="A5" s="6" t="n">
        <v>1986</v>
      </c>
      <c r="B5" s="6" t="s">
        <v>56</v>
      </c>
      <c r="C5" s="7" t="n">
        <f aca="false">'PBG por tramo'!E22*'Coeficiente de empalme (B-C)'!$B$5*'Coeficiente de empalme (B-C)'!$B$8</f>
        <v>7564850.34178826</v>
      </c>
      <c r="D5" s="6"/>
    </row>
    <row r="6" customFormat="false" ht="15" hidden="false" customHeight="false" outlineLevel="0" collapsed="false">
      <c r="A6" s="6" t="n">
        <v>1987</v>
      </c>
      <c r="B6" s="6" t="s">
        <v>56</v>
      </c>
      <c r="C6" s="7" t="n">
        <f aca="false">'PBG por tramo'!E23*'Coeficiente de empalme (B-C)'!$B$5*'Coeficiente de empalme (B-C)'!$B$8</f>
        <v>7662186.67346163</v>
      </c>
      <c r="D6" s="8" t="n">
        <f aca="false">C6/C5-1</f>
        <v>0.0128669209932264</v>
      </c>
    </row>
    <row r="7" customFormat="false" ht="15" hidden="false" customHeight="false" outlineLevel="0" collapsed="false">
      <c r="A7" s="6" t="n">
        <v>1988</v>
      </c>
      <c r="B7" s="6" t="s">
        <v>56</v>
      </c>
      <c r="C7" s="7" t="n">
        <f aca="false">'PBG por tramo'!E24*'Coeficiente de empalme (B-C)'!$B$5*'Coeficiente de empalme (B-C)'!$B$8</f>
        <v>7476209.34761749</v>
      </c>
      <c r="D7" s="8" t="n">
        <f aca="false">C7/C6-1</f>
        <v>-0.0242720953912904</v>
      </c>
    </row>
    <row r="8" customFormat="false" ht="15" hidden="false" customHeight="false" outlineLevel="0" collapsed="false">
      <c r="A8" s="6" t="n">
        <v>1989</v>
      </c>
      <c r="B8" s="6" t="s">
        <v>56</v>
      </c>
      <c r="C8" s="7" t="n">
        <f aca="false">'PBG por tramo'!E25*'Coeficiente de empalme (B-C)'!$B$5*'Coeficiente de empalme (B-C)'!$B$8</f>
        <v>7163476.84179387</v>
      </c>
      <c r="D8" s="8" t="n">
        <f aca="false">C8/C7-1</f>
        <v>-0.0418303569740578</v>
      </c>
    </row>
    <row r="9" customFormat="false" ht="15" hidden="false" customHeight="false" outlineLevel="0" collapsed="false">
      <c r="A9" s="6" t="n">
        <v>1990</v>
      </c>
      <c r="B9" s="6" t="s">
        <v>56</v>
      </c>
      <c r="C9" s="7" t="n">
        <f aca="false">'PBG por tramo'!E26*'Coeficiente de empalme (B-C)'!$B$5*'Coeficiente de empalme (B-C)'!$B$8</f>
        <v>7169611.06883569</v>
      </c>
      <c r="D9" s="8" t="n">
        <f aca="false">C9/C8-1</f>
        <v>0.000856319797955862</v>
      </c>
    </row>
    <row r="10" customFormat="false" ht="15" hidden="false" customHeight="false" outlineLevel="0" collapsed="false">
      <c r="A10" s="6" t="n">
        <v>1991</v>
      </c>
      <c r="B10" s="6" t="s">
        <v>57</v>
      </c>
      <c r="C10" s="7" t="n">
        <f aca="false">'PBG por tramo'!E31*'Coeficiente de empalme (B-C)'!$B$8</f>
        <v>7014604.44302249</v>
      </c>
      <c r="D10" s="8" t="n">
        <f aca="false">C10/C9-1</f>
        <v>-0.0216199490216387</v>
      </c>
    </row>
    <row r="11" customFormat="false" ht="15" hidden="false" customHeight="false" outlineLevel="0" collapsed="false">
      <c r="A11" s="6" t="n">
        <v>1992</v>
      </c>
      <c r="B11" s="6" t="s">
        <v>57</v>
      </c>
      <c r="C11" s="7" t="n">
        <f aca="false">'PBG por tramo'!E32*'Coeficiente de empalme (B-C)'!$B$8</f>
        <v>7608953.64722586</v>
      </c>
      <c r="D11" s="8" t="n">
        <f aca="false">C11/C10-1</f>
        <v>0.0847302522944942</v>
      </c>
    </row>
    <row r="12" customFormat="false" ht="15" hidden="false" customHeight="false" outlineLevel="0" collapsed="false">
      <c r="A12" s="6" t="n">
        <v>1993</v>
      </c>
      <c r="B12" s="6" t="s">
        <v>57</v>
      </c>
      <c r="C12" s="7" t="n">
        <f aca="false">'PBG por tramo'!E33*'Coeficiente de empalme (B-C)'!$B$8</f>
        <v>8394703.84090334</v>
      </c>
      <c r="D12" s="8" t="n">
        <f aca="false">C12/C11-1</f>
        <v>0.103266523901608</v>
      </c>
    </row>
    <row r="13" customFormat="false" ht="15" hidden="false" customHeight="false" outlineLevel="0" collapsed="false">
      <c r="A13" s="6" t="n">
        <v>1994</v>
      </c>
      <c r="B13" s="6" t="s">
        <v>57</v>
      </c>
      <c r="C13" s="7" t="n">
        <f aca="false">'PBG por tramo'!E34*'Coeficiente de empalme (B-C)'!$B$8</f>
        <v>8758677.74592526</v>
      </c>
      <c r="D13" s="8" t="n">
        <f aca="false">C13/C12-1</f>
        <v>0.0433575635209968</v>
      </c>
    </row>
    <row r="14" customFormat="false" ht="15" hidden="false" customHeight="false" outlineLevel="0" collapsed="false">
      <c r="A14" s="6" t="n">
        <v>1995</v>
      </c>
      <c r="B14" s="6" t="s">
        <v>57</v>
      </c>
      <c r="C14" s="7" t="n">
        <f aca="false">'PBG por tramo'!E35*'Coeficiente de empalme (B-C)'!$B$8</f>
        <v>8554024.21719686</v>
      </c>
      <c r="D14" s="8" t="n">
        <f aca="false">C14/C13-1</f>
        <v>-0.0233658018556062</v>
      </c>
    </row>
    <row r="15" customFormat="false" ht="15" hidden="false" customHeight="false" outlineLevel="0" collapsed="false">
      <c r="A15" s="6" t="n">
        <v>1996</v>
      </c>
      <c r="B15" s="6" t="s">
        <v>57</v>
      </c>
      <c r="C15" s="7" t="n">
        <f aca="false">'PBG por tramo'!E36*'Coeficiente de empalme (B-C)'!$B$8</f>
        <v>8799057.04158786</v>
      </c>
      <c r="D15" s="8" t="n">
        <f aca="false">C15/C14-1</f>
        <v>0.0286453274119081</v>
      </c>
    </row>
    <row r="16" customFormat="false" ht="15" hidden="false" customHeight="false" outlineLevel="0" collapsed="false">
      <c r="A16" s="6" t="n">
        <v>1997</v>
      </c>
      <c r="B16" s="6" t="s">
        <v>57</v>
      </c>
      <c r="C16" s="7" t="n">
        <f aca="false">'PBG por tramo'!E37*'Coeficiente de empalme (B-C)'!$B$8</f>
        <v>9632521.12793488</v>
      </c>
      <c r="D16" s="8" t="n">
        <f aca="false">C16/C15-1</f>
        <v>0.0947219778673709</v>
      </c>
    </row>
    <row r="17" customFormat="false" ht="15" hidden="false" customHeight="false" outlineLevel="0" collapsed="false">
      <c r="A17" s="6" t="n">
        <v>1998</v>
      </c>
      <c r="B17" s="6" t="s">
        <v>57</v>
      </c>
      <c r="C17" s="7" t="n">
        <f aca="false">'PBG por tramo'!E38*'Coeficiente de empalme (B-C)'!$B$8</f>
        <v>10262365.509435</v>
      </c>
      <c r="D17" s="8" t="n">
        <f aca="false">C17/C16-1</f>
        <v>0.0653872826371031</v>
      </c>
    </row>
    <row r="18" customFormat="false" ht="15" hidden="false" customHeight="false" outlineLevel="0" collapsed="false">
      <c r="A18" s="6" t="n">
        <v>1999</v>
      </c>
      <c r="B18" s="6" t="s">
        <v>57</v>
      </c>
      <c r="C18" s="7" t="n">
        <f aca="false">'PBG por tramo'!E39*'Coeficiente de empalme (B-C)'!$B$8</f>
        <v>10007457.5523202</v>
      </c>
      <c r="D18" s="8" t="n">
        <f aca="false">C18/C17-1</f>
        <v>-0.0248391033120479</v>
      </c>
    </row>
    <row r="19" customFormat="false" ht="15" hidden="false" customHeight="false" outlineLevel="0" collapsed="false">
      <c r="A19" s="6" t="n">
        <v>2000</v>
      </c>
      <c r="B19" s="6" t="s">
        <v>57</v>
      </c>
      <c r="C19" s="7" t="n">
        <f aca="false">'PBG por tramo'!E40*'Coeficiente de empalme (B-C)'!$B$8</f>
        <v>9736438.40547775</v>
      </c>
      <c r="D19" s="8" t="n">
        <f aca="false">C19/C18-1</f>
        <v>-0.0270817183510901</v>
      </c>
    </row>
    <row r="20" customFormat="false" ht="15" hidden="false" customHeight="false" outlineLevel="0" collapsed="false">
      <c r="A20" s="6" t="n">
        <v>2001</v>
      </c>
      <c r="B20" s="6" t="s">
        <v>57</v>
      </c>
      <c r="C20" s="7" t="n">
        <f aca="false">'PBG por tramo'!E41*'Coeficiente de empalme (B-C)'!$B$8</f>
        <v>9001995.93320734</v>
      </c>
      <c r="D20" s="8" t="n">
        <f aca="false">C20/C19-1</f>
        <v>-0.0754323543871244</v>
      </c>
    </row>
    <row r="21" customFormat="false" ht="15" hidden="false" customHeight="false" outlineLevel="0" collapsed="false">
      <c r="A21" s="6" t="n">
        <v>2002</v>
      </c>
      <c r="B21" s="6" t="s">
        <v>57</v>
      </c>
      <c r="C21" s="7" t="n">
        <f aca="false">'PBG por tramo'!E42*'Coeficiente de empalme (B-C)'!$B$8</f>
        <v>8406265.74693277</v>
      </c>
      <c r="D21" s="8" t="n">
        <f aca="false">C21/C20-1</f>
        <v>-0.0661775666968467</v>
      </c>
    </row>
    <row r="22" customFormat="false" ht="15" hidden="false" customHeight="false" outlineLevel="0" collapsed="false">
      <c r="A22" s="6" t="n">
        <v>2003</v>
      </c>
      <c r="B22" s="6" t="s">
        <v>57</v>
      </c>
      <c r="C22" s="7" t="n">
        <f aca="false">'PBG por tramo'!E43*'Coeficiente de empalme (B-C)'!$B$8</f>
        <v>10101895.2207623</v>
      </c>
      <c r="D22" s="8" t="n">
        <f aca="false">C22/C21-1</f>
        <v>0.201710191525673</v>
      </c>
    </row>
    <row r="23" customFormat="false" ht="15" hidden="false" customHeight="false" outlineLevel="0" collapsed="false">
      <c r="A23" s="6" t="n">
        <v>2004</v>
      </c>
      <c r="B23" s="6" t="s">
        <v>58</v>
      </c>
      <c r="C23" s="7" t="n">
        <f aca="false">'PBG por tramo'!E45*'Coeficiente de empalme (B-C)'!$B$8</f>
        <v>11762122.3115253</v>
      </c>
      <c r="D23" s="8" t="n">
        <f aca="false">C23/C22-1</f>
        <v>0.164348080680028</v>
      </c>
    </row>
    <row r="24" customFormat="false" ht="15" hidden="false" customHeight="false" outlineLevel="0" collapsed="false">
      <c r="A24" s="6" t="n">
        <v>2005</v>
      </c>
      <c r="B24" s="6" t="s">
        <v>58</v>
      </c>
      <c r="C24" s="7" t="n">
        <f aca="false">'PBG por tramo'!E46*'Coeficiente de empalme (B-C)'!$B$8</f>
        <v>12309223.3563264</v>
      </c>
      <c r="D24" s="8" t="n">
        <f aca="false">C24/C23-1</f>
        <v>0.0465138034030677</v>
      </c>
    </row>
    <row r="25" customFormat="false" ht="15" hidden="false" customHeight="false" outlineLevel="0" collapsed="false">
      <c r="A25" s="6" t="n">
        <v>2006</v>
      </c>
      <c r="B25" s="6" t="s">
        <v>58</v>
      </c>
      <c r="C25" s="7" t="n">
        <f aca="false">'PBG por tramo'!E47*'Coeficiente de empalme (B-C)'!$B$8</f>
        <v>13259436.5943527</v>
      </c>
      <c r="D25" s="8" t="n">
        <f aca="false">C25/C24-1</f>
        <v>0.0771952226813613</v>
      </c>
    </row>
    <row r="26" customFormat="false" ht="15" hidden="false" customHeight="false" outlineLevel="0" collapsed="false">
      <c r="A26" s="6" t="n">
        <v>2007</v>
      </c>
      <c r="B26" s="6" t="s">
        <v>58</v>
      </c>
      <c r="C26" s="7" t="n">
        <f aca="false">'PBG por tramo'!E48*'Coeficiente de empalme (B-C)'!$B$8</f>
        <v>13812573.2174104</v>
      </c>
      <c r="D26" s="8" t="n">
        <f aca="false">C26/C25-1</f>
        <v>0.0417164499503158</v>
      </c>
    </row>
    <row r="27" customFormat="false" ht="15" hidden="false" customHeight="false" outlineLevel="0" collapsed="false">
      <c r="A27" s="6" t="n">
        <v>2008</v>
      </c>
      <c r="B27" s="6" t="s">
        <v>58</v>
      </c>
      <c r="C27" s="7" t="n">
        <f aca="false">'PBG por tramo'!E49*'Coeficiente de empalme (B-C)'!$B$8</f>
        <v>14131050.6874564</v>
      </c>
      <c r="D27" s="8" t="n">
        <f aca="false">C27/C26-1</f>
        <v>0.0230570701804245</v>
      </c>
    </row>
    <row r="28" customFormat="false" ht="15" hidden="false" customHeight="false" outlineLevel="0" collapsed="false">
      <c r="A28" s="6" t="n">
        <v>2009</v>
      </c>
      <c r="B28" s="6" t="s">
        <v>58</v>
      </c>
      <c r="C28" s="7" t="n">
        <f aca="false">'PBG por tramo'!E50*'Coeficiente de empalme (B-C)'!$B$8</f>
        <v>13736909.129691</v>
      </c>
      <c r="D28" s="8" t="n">
        <f aca="false">C28/C27-1</f>
        <v>-0.0278918791307806</v>
      </c>
    </row>
    <row r="29" customFormat="false" ht="15" hidden="false" customHeight="false" outlineLevel="0" collapsed="false">
      <c r="A29" s="6" t="n">
        <v>2010</v>
      </c>
      <c r="B29" s="6" t="s">
        <v>58</v>
      </c>
      <c r="C29" s="7" t="n">
        <f aca="false">'PBG por tramo'!E51*'Coeficiente de empalme (B-C)'!$B$8</f>
        <v>14344401.0242019</v>
      </c>
      <c r="D29" s="8" t="n">
        <f aca="false">C29/C28-1</f>
        <v>0.0442233321029915</v>
      </c>
    </row>
    <row r="30" customFormat="false" ht="15" hidden="false" customHeight="false" outlineLevel="0" collapsed="false">
      <c r="A30" s="6" t="n">
        <v>2011</v>
      </c>
      <c r="B30" s="6" t="s">
        <v>58</v>
      </c>
      <c r="C30" s="7" t="n">
        <f aca="false">'PBG por tramo'!E52*'Coeficiente de empalme (B-C)'!$B$8</f>
        <v>14860479.7871374</v>
      </c>
      <c r="D30" s="8" t="n">
        <f aca="false">C30/C29-1</f>
        <v>0.0359777143754412</v>
      </c>
    </row>
    <row r="31" customFormat="false" ht="15" hidden="false" customHeight="false" outlineLevel="0" collapsed="false">
      <c r="A31" s="6" t="n">
        <v>2012</v>
      </c>
      <c r="B31" s="6" t="s">
        <v>58</v>
      </c>
      <c r="C31" s="7" t="n">
        <f aca="false">'PBG por tramo'!E53*'Coeficiente de empalme (B-C)'!$B$8</f>
        <v>14650114.2755265</v>
      </c>
      <c r="D31" s="8" t="n">
        <f aca="false">C31/C30-1</f>
        <v>-0.0141560376666315</v>
      </c>
    </row>
    <row r="32" customFormat="false" ht="15" hidden="false" customHeight="false" outlineLevel="0" collapsed="false">
      <c r="A32" s="6" t="n">
        <v>2013</v>
      </c>
      <c r="B32" s="6" t="s">
        <v>58</v>
      </c>
      <c r="C32" s="7" t="n">
        <f aca="false">'PBG por tramo'!E54*'Coeficiente de empalme (B-C)'!$B$8</f>
        <v>15370910.4624201</v>
      </c>
      <c r="D32" s="8" t="n">
        <f aca="false">C32/C31-1</f>
        <v>0.0492007211232268</v>
      </c>
    </row>
    <row r="33" customFormat="false" ht="15" hidden="false" customHeight="false" outlineLevel="0" collapsed="false">
      <c r="A33" s="6" t="n">
        <v>2014</v>
      </c>
      <c r="B33" s="6" t="s">
        <v>58</v>
      </c>
      <c r="C33" s="7" t="n">
        <f aca="false">'PBG por tramo'!E55*'Coeficiente de empalme (B-C)'!$B$8</f>
        <v>14804605.6913693</v>
      </c>
      <c r="D33" s="8" t="n">
        <f aca="false">C33/C32-1</f>
        <v>-0.0368426302680859</v>
      </c>
    </row>
    <row r="34" customFormat="false" ht="15" hidden="false" customHeight="false" outlineLevel="0" collapsed="false">
      <c r="A34" s="6" t="n">
        <v>2015</v>
      </c>
      <c r="B34" s="6" t="s">
        <v>58</v>
      </c>
      <c r="C34" s="7" t="n">
        <f aca="false">'PBG por tramo'!E56*'Coeficiente de empalme (B-C)'!$B$8</f>
        <v>15347103.8325994</v>
      </c>
      <c r="D34" s="8" t="n">
        <f aca="false">C34/C33-1</f>
        <v>0.0366438764084318</v>
      </c>
    </row>
    <row r="35" customFormat="false" ht="15" hidden="false" customHeight="false" outlineLevel="0" collapsed="false">
      <c r="A35" s="6" t="n">
        <v>2016</v>
      </c>
      <c r="B35" s="6" t="s">
        <v>58</v>
      </c>
      <c r="C35" s="7" t="n">
        <f aca="false">'PBG por tramo'!E57*'Coeficiente de empalme (B-C)'!$B$8</f>
        <v>14463992.6137138</v>
      </c>
      <c r="D35" s="8" t="n">
        <f aca="false">C35/C34-1</f>
        <v>-0.0575425323577826</v>
      </c>
    </row>
    <row r="36" customFormat="false" ht="15" hidden="false" customHeight="false" outlineLevel="0" collapsed="false">
      <c r="A36" s="6" t="n">
        <v>2017</v>
      </c>
      <c r="B36" s="6" t="s">
        <v>58</v>
      </c>
      <c r="C36" s="7" t="n">
        <f aca="false">'PBG por tramo'!E58*'Coeficiente de empalme (B-C)'!$B$8</f>
        <v>14769528.1972018</v>
      </c>
      <c r="D36" s="8" t="n">
        <f aca="false">C36/C35-1</f>
        <v>0.0211238757961143</v>
      </c>
    </row>
    <row r="37" customFormat="false" ht="15" hidden="false" customHeight="false" outlineLevel="0" collapsed="false">
      <c r="A37" s="6" t="n">
        <v>2018</v>
      </c>
      <c r="B37" s="6" t="s">
        <v>58</v>
      </c>
      <c r="C37" s="7" t="n">
        <f aca="false">'PBG por tramo'!E59*'Coeficiente de empalme (B-C)'!$B$8</f>
        <v>14693941.8762862</v>
      </c>
      <c r="D37" s="8" t="n">
        <f aca="false">C37/C36-1</f>
        <v>-0.00511772074953099</v>
      </c>
    </row>
    <row r="38" customFormat="false" ht="15" hidden="false" customHeight="false" outlineLevel="0" collapsed="false">
      <c r="A38" s="6" t="n">
        <v>2019</v>
      </c>
      <c r="B38" s="6" t="s">
        <v>58</v>
      </c>
      <c r="C38" s="7" t="n">
        <f aca="false">'PBG por tramo'!E60*'Coeficiente de empalme (B-C)'!$B$8</f>
        <v>14504929.0529644</v>
      </c>
      <c r="D38" s="8" t="n">
        <f aca="false">C38/C37-1</f>
        <v>-0.0128633163866527</v>
      </c>
    </row>
    <row r="39" customFormat="false" ht="15" hidden="false" customHeight="false" outlineLevel="0" collapsed="false">
      <c r="A39" s="6" t="n">
        <v>2020</v>
      </c>
      <c r="B39" s="6" t="s">
        <v>58</v>
      </c>
      <c r="C39" s="7" t="n">
        <f aca="false">'PBG por tramo'!E61*'Coeficiente de empalme (B-C)'!$B$8</f>
        <v>13349577.6573647</v>
      </c>
      <c r="D39" s="8" t="n">
        <f aca="false">C39/C38-1</f>
        <v>-0.0796523300032026</v>
      </c>
    </row>
    <row r="40" customFormat="false" ht="15" hidden="false" customHeight="false" outlineLevel="0" collapsed="false">
      <c r="A40" s="6" t="n">
        <v>2021</v>
      </c>
      <c r="B40" s="6" t="s">
        <v>58</v>
      </c>
      <c r="C40" s="7" t="n">
        <f aca="false">'PBG por tramo'!E62*'Coeficiente de empalme (B-C)'!$B$8</f>
        <v>14748324.0486094</v>
      </c>
      <c r="D40" s="8" t="n">
        <f aca="false">C40/C39-1</f>
        <v>0.104778325363203</v>
      </c>
    </row>
    <row r="41" customFormat="false" ht="15" hidden="false" customHeight="false" outlineLevel="0" collapsed="false">
      <c r="A41" s="6" t="n">
        <v>2022</v>
      </c>
      <c r="B41" s="6" t="s">
        <v>58</v>
      </c>
      <c r="C41" s="7" t="n">
        <f aca="false">'PBG por tramo'!E63*'Coeficiente de empalme (B-C)'!$B$8</f>
        <v>15335413.8458322</v>
      </c>
      <c r="D41" s="8" t="n">
        <f aca="false">C41/C40-1</f>
        <v>0.0398072211654557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2026-08-14T17:55:18Z</dcterms:created>
  <dc:creator>openpyxl</dc:creator>
  <dc:description/>
  <dc:language>en-US</dc:language>
  <cp:lastModifiedBy/>
  <dcterms:modified xsi:type="dcterms:W3CDTF">2026-08-18T11:44:15Z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