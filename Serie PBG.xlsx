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1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uario\Desktop\UNIVERSIDAD ECONOMÍA\Tercer Año\Proyecto-evolucion-salarios\"/>
    </mc:Choice>
  </mc:AlternateContent>
  <xr:revisionPtr revIDLastSave="0" documentId="8_{3898E4BC-C720-4145-9E62-DA38D54DA32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volución PBG MZA" sheetId="14" r:id="rId1"/>
  </sheets>
  <calcPr calcId="181029"/>
  <extLst>
    <ext uri="GoogleSheetsCustomDataVersion2">
      <go:sheetsCustomData xmlns:go="http://customooxmlschemas.google.com/" r:id="rId18" roundtripDataChecksum="/dUSXa82hxQOGMb+5WJan/aJb6jPiaBSIQkW1CqgTQI="/>
    </ext>
  </extLst>
</workbook>
</file>

<file path=xl/calcChain.xml><?xml version="1.0" encoding="utf-8"?>
<calcChain xmlns="http://schemas.openxmlformats.org/spreadsheetml/2006/main">
  <c r="D17" i="14" l="1"/>
  <c r="D16" i="14"/>
  <c r="D15" i="14"/>
  <c r="D14" i="14"/>
  <c r="D13" i="14"/>
  <c r="D12" i="14"/>
  <c r="D11" i="14"/>
  <c r="D10" i="14"/>
  <c r="D9" i="14"/>
  <c r="D8" i="14"/>
  <c r="D7" i="14"/>
  <c r="D6" i="14"/>
  <c r="D5" i="14"/>
  <c r="D4" i="14"/>
  <c r="D3" i="14"/>
  <c r="D21" i="14" l="1"/>
  <c r="D20" i="14"/>
  <c r="D19" i="14"/>
  <c r="D18" i="14"/>
  <c r="D22" i="14"/>
  <c r="D53" i="14" l="1"/>
  <c r="D45" i="14"/>
  <c r="D37" i="14"/>
  <c r="D29" i="14"/>
  <c r="D52" i="14"/>
  <c r="D44" i="14"/>
  <c r="D36" i="14"/>
  <c r="D28" i="14"/>
  <c r="D51" i="14"/>
  <c r="D43" i="14"/>
  <c r="D35" i="14"/>
  <c r="D27" i="14"/>
  <c r="D50" i="14"/>
  <c r="D42" i="14"/>
  <c r="D34" i="14"/>
  <c r="D26" i="14"/>
  <c r="D54" i="14"/>
  <c r="D38" i="14"/>
  <c r="D41" i="14"/>
  <c r="D49" i="14"/>
  <c r="D33" i="14"/>
  <c r="D30" i="14"/>
  <c r="D25" i="14"/>
  <c r="D48" i="14"/>
  <c r="D32" i="14"/>
  <c r="D46" i="14"/>
  <c r="D47" i="14"/>
  <c r="D31" i="14"/>
  <c r="D40" i="14"/>
  <c r="D24" i="14"/>
  <c r="D39" i="14"/>
  <c r="D23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18" authorId="0" shapeId="0" xr:uid="{00000000-0006-0000-0D00-000001000000}">
      <text>
        <r>
          <rPr>
            <sz val="11"/>
            <color theme="1"/>
            <rFont val="Calibri"/>
            <scheme val="minor"/>
          </rPr>
          <t>======
ID#AAACE68eTZU
Jorge MATZKIN    (2026-08-06 14:21:35)
Queda igual al año anterior debido al cambio de moneda</t>
        </r>
      </text>
    </comment>
    <comment ref="D23" authorId="0" shapeId="0" xr:uid="{00000000-0006-0000-0D00-000002000000}">
      <text>
        <r>
          <rPr>
            <sz val="11"/>
            <color theme="1"/>
            <rFont val="Calibri"/>
            <scheme val="minor"/>
          </rPr>
          <t>======
ID#AAACE68eTZY
Jorge MATZKIN    (2026-08-06 14:21:42)
Queda igual al año anterior debido al cambio de moneda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djTRlDBVRkOA5vssWee98+oxwHQ=="/>
    </ext>
  </extLst>
</comments>
</file>

<file path=xl/sharedStrings.xml><?xml version="1.0" encoding="utf-8"?>
<sst xmlns="http://schemas.openxmlformats.org/spreadsheetml/2006/main" count="58" uniqueCount="8">
  <si>
    <t>Año</t>
  </si>
  <si>
    <t>Moneda</t>
  </si>
  <si>
    <t>PBG</t>
  </si>
  <si>
    <t>PBG Indice 1970</t>
  </si>
  <si>
    <t>IPC INDEC Base 1999=100</t>
  </si>
  <si>
    <t>Austral de 1970</t>
  </si>
  <si>
    <t>Pesos de 1996</t>
  </si>
  <si>
    <t>Miles de pesos de 1993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</si>
</sst>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7" formatCode="0.000E+00_)"/>
    <numFmt numFmtId="168" formatCode="#,##0.0"/>
    <numFmt numFmtId="169" formatCode="_(* #,##0.00000_);_(* \(#,##0.00000\);_(* &quot;-&quot;??_);_(@_)"/>
    <numFmt numFmtId="170" formatCode="_(* #,##0.0000_);_(* \(#,##0.0000\);_(* &quot;-&quot;??_);_(@_)"/>
    <numFmt numFmtId="171" formatCode="_(* #,##0.00_);_(* \(#,##0.00\);_(* &quot;-&quot;??_);_(@_)"/>
  </numFmts>
  <fonts count="7" x14ac:knownFonts="1">
    <font>
      <sz val="11"/>
      <color theme="1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b/>
      <sz val="13"/>
      <color theme="1"/>
      <name val="Arial"/>
    </font>
    <font>
      <sz val="11"/>
      <color theme="1"/>
      <name val="Arial"/>
    </font>
    <font>
      <sz val="11"/>
      <color theme="1"/>
      <name val="Arial"/>
    </font>
    <font>
      <sz val="8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0" borderId="3" xfId="0" applyFont="1" applyBorder="1"/>
    <xf numFmtId="0" fontId="2" fillId="0" borderId="3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1" fillId="0" borderId="3" xfId="0" applyFont="1" applyBorder="1"/>
    <xf numFmtId="167" fontId="5" fillId="0" borderId="3" xfId="0" applyNumberFormat="1" applyFont="1" applyBorder="1" applyAlignment="1">
      <alignment horizontal="right"/>
    </xf>
    <xf numFmtId="4" fontId="4" fillId="0" borderId="3" xfId="0" applyNumberFormat="1" applyFont="1" applyBorder="1" applyAlignment="1">
      <alignment horizontal="right" vertical="center" wrapText="1"/>
    </xf>
    <xf numFmtId="4" fontId="4" fillId="0" borderId="3" xfId="0" applyNumberFormat="1" applyFont="1" applyBorder="1" applyAlignment="1">
      <alignment horizontal="right" wrapText="1"/>
    </xf>
    <xf numFmtId="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3" fontId="6" fillId="0" borderId="0" xfId="0" applyNumberFormat="1" applyFont="1" applyAlignment="1">
      <alignment horizontal="right"/>
    </xf>
    <xf numFmtId="0" fontId="4" fillId="0" borderId="3" xfId="0" applyFont="1" applyBorder="1" applyAlignment="1">
      <alignment horizontal="right" wrapText="1"/>
    </xf>
    <xf numFmtId="168" fontId="4" fillId="0" borderId="3" xfId="0" applyNumberFormat="1" applyFont="1" applyBorder="1" applyAlignment="1">
      <alignment horizontal="right" wrapText="1"/>
    </xf>
    <xf numFmtId="169" fontId="5" fillId="0" borderId="3" xfId="0" applyNumberFormat="1" applyFont="1" applyBorder="1" applyAlignment="1">
      <alignment horizontal="right"/>
    </xf>
    <xf numFmtId="170" fontId="5" fillId="0" borderId="3" xfId="0" applyNumberFormat="1" applyFont="1" applyBorder="1" applyAlignment="1">
      <alignment horizontal="right"/>
    </xf>
    <xf numFmtId="3" fontId="4" fillId="0" borderId="3" xfId="0" applyNumberFormat="1" applyFont="1" applyBorder="1" applyAlignment="1">
      <alignment horizontal="right" wrapText="1"/>
    </xf>
    <xf numFmtId="3" fontId="6" fillId="2" borderId="2" xfId="0" applyNumberFormat="1" applyFont="1" applyFill="1" applyBorder="1" applyAlignment="1">
      <alignment horizontal="right"/>
    </xf>
    <xf numFmtId="3" fontId="6" fillId="2" borderId="1" xfId="0" applyNumberFormat="1" applyFont="1" applyFill="1" applyBorder="1" applyAlignment="1">
      <alignment horizontal="right"/>
    </xf>
    <xf numFmtId="171" fontId="5" fillId="0" borderId="3" xfId="0" applyNumberFormat="1" applyFont="1" applyBorder="1" applyAlignment="1">
      <alignment horizontal="right"/>
    </xf>
    <xf numFmtId="3" fontId="4" fillId="2" borderId="3" xfId="0" applyNumberFormat="1" applyFont="1" applyFill="1" applyBorder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10"/></Relationships>
</file>

<file path=xl/_rels/workbook.xml.rels><?xml version="1.0" encoding="UTF-8" standalone="yes"?>
<Relationships xmlns="http://schemas.openxmlformats.org/package/2006/relationships"><Relationship Id="rId18" Type="http://customschemas.google.com/relationships/workbookmetadata" Target="metadata"/><Relationship Id="rId21" Type="http://schemas.openxmlformats.org/officeDocument/2006/relationships/sharedStrings" Target="sharedStrings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19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X65"/>
  <sheetViews>
    <sheetView tabSelected="1" workbookViewId="0"/>
  </sheetViews>
  <sheetFormatPr baseColWidth="10" defaultColWidth="14.42578125" defaultRowHeight="15" customHeight="1" x14ac:dyDescent="0.25"/>
  <sheetData>
    <row r="1" spans="1:18" x14ac:dyDescent="0.25">
      <c r="A1" s="1" t="s">
        <v>0</v>
      </c>
      <c r="B1" s="1" t="s">
        <v>2</v>
      </c>
      <c r="C1" s="1" t="s">
        <v>1</v>
      </c>
      <c r="D1" s="2" t="s">
        <v>3</v>
      </c>
      <c r="E1" s="2" t="s">
        <v>4</v>
      </c>
    </row>
    <row r="2" spans="1:18" x14ac:dyDescent="0.25">
      <c r="A2" s="3">
        <v>1970</v>
      </c>
      <c r="B2" s="3">
        <v>313.43</v>
      </c>
      <c r="C2" s="3" t="s">
        <v>5</v>
      </c>
      <c r="D2" s="4">
        <v>100</v>
      </c>
      <c r="E2" s="5">
        <v>4.7536083333333332E-10</v>
      </c>
    </row>
    <row r="3" spans="1:18" x14ac:dyDescent="0.25">
      <c r="A3" s="3">
        <v>1971</v>
      </c>
      <c r="B3" s="6">
        <v>334.41</v>
      </c>
      <c r="C3" s="3" t="s">
        <v>5</v>
      </c>
      <c r="D3" s="4">
        <f t="shared" ref="D3:D17" si="0">(B3/$B$2)*100</f>
        <v>106.69367960948219</v>
      </c>
      <c r="E3" s="5">
        <v>6.4042000000000005E-10</v>
      </c>
    </row>
    <row r="4" spans="1:18" x14ac:dyDescent="0.25">
      <c r="A4" s="3">
        <v>1972</v>
      </c>
      <c r="B4" s="7">
        <v>356.26</v>
      </c>
      <c r="C4" s="3" t="s">
        <v>5</v>
      </c>
      <c r="D4" s="4">
        <f t="shared" si="0"/>
        <v>113.66493315891906</v>
      </c>
      <c r="E4" s="5">
        <v>1.0147766666666666E-9</v>
      </c>
    </row>
    <row r="5" spans="1:18" x14ac:dyDescent="0.25">
      <c r="A5" s="3">
        <v>1973</v>
      </c>
      <c r="B5" s="7">
        <v>364.33</v>
      </c>
      <c r="C5" s="3" t="s">
        <v>5</v>
      </c>
      <c r="D5" s="4">
        <f t="shared" si="0"/>
        <v>116.23967073987811</v>
      </c>
      <c r="E5" s="5">
        <v>1.6267208333333335E-9</v>
      </c>
      <c r="F5" s="8"/>
      <c r="G5" s="8"/>
      <c r="H5" s="8"/>
      <c r="I5" s="8"/>
      <c r="J5" s="8"/>
      <c r="K5" s="9"/>
      <c r="L5" s="9"/>
      <c r="M5" s="9"/>
      <c r="N5" s="9"/>
      <c r="O5" s="9"/>
      <c r="P5" s="9"/>
      <c r="Q5" s="9"/>
      <c r="R5" s="9"/>
    </row>
    <row r="6" spans="1:18" x14ac:dyDescent="0.25">
      <c r="A6" s="3">
        <v>1974</v>
      </c>
      <c r="B6" s="7">
        <v>406.37</v>
      </c>
      <c r="C6" s="3" t="s">
        <v>5</v>
      </c>
      <c r="D6" s="4">
        <f t="shared" si="0"/>
        <v>129.65255399929811</v>
      </c>
      <c r="E6" s="5">
        <v>2.0206541666666667E-9</v>
      </c>
    </row>
    <row r="7" spans="1:18" x14ac:dyDescent="0.25">
      <c r="A7" s="3">
        <v>1975</v>
      </c>
      <c r="B7" s="7">
        <v>355.2</v>
      </c>
      <c r="C7" s="3" t="s">
        <v>5</v>
      </c>
      <c r="D7" s="4">
        <f t="shared" si="0"/>
        <v>113.32673962288229</v>
      </c>
      <c r="E7" s="5">
        <v>5.7142666666666667E-9</v>
      </c>
      <c r="F7" s="10"/>
      <c r="G7" s="10"/>
      <c r="H7" s="10"/>
      <c r="I7" s="10"/>
      <c r="J7" s="10"/>
      <c r="K7" s="10"/>
      <c r="L7" s="10"/>
      <c r="M7" s="10"/>
      <c r="N7" s="10"/>
      <c r="O7" s="10"/>
    </row>
    <row r="8" spans="1:18" x14ac:dyDescent="0.25">
      <c r="A8" s="3">
        <v>1976</v>
      </c>
      <c r="B8" s="7">
        <v>404.05</v>
      </c>
      <c r="C8" s="3" t="s">
        <v>5</v>
      </c>
      <c r="D8" s="4">
        <f t="shared" si="0"/>
        <v>128.91235682608558</v>
      </c>
      <c r="E8" s="5">
        <v>3.1086300000000001E-8</v>
      </c>
    </row>
    <row r="9" spans="1:18" x14ac:dyDescent="0.25">
      <c r="A9" s="3">
        <v>1977</v>
      </c>
      <c r="B9" s="7">
        <v>380.63</v>
      </c>
      <c r="C9" s="3" t="s">
        <v>5</v>
      </c>
      <c r="D9" s="4">
        <f t="shared" si="0"/>
        <v>121.44019398270747</v>
      </c>
      <c r="E9" s="5">
        <v>8.5808049999999979E-8</v>
      </c>
    </row>
    <row r="10" spans="1:18" x14ac:dyDescent="0.25">
      <c r="A10" s="3">
        <v>1978</v>
      </c>
      <c r="B10" s="11">
        <v>423.6</v>
      </c>
      <c r="C10" s="3" t="s">
        <v>5</v>
      </c>
      <c r="D10" s="4">
        <f t="shared" si="0"/>
        <v>135.14979421242384</v>
      </c>
      <c r="E10" s="5">
        <v>2.3640874999999998E-7</v>
      </c>
    </row>
    <row r="11" spans="1:18" x14ac:dyDescent="0.25">
      <c r="A11" s="3">
        <v>1979</v>
      </c>
      <c r="B11" s="11">
        <v>481.05</v>
      </c>
      <c r="C11" s="3" t="s">
        <v>5</v>
      </c>
      <c r="D11" s="4">
        <f t="shared" si="0"/>
        <v>153.47924576460454</v>
      </c>
      <c r="E11" s="5">
        <v>6.1350683333333345E-7</v>
      </c>
    </row>
    <row r="12" spans="1:18" x14ac:dyDescent="0.25">
      <c r="A12" s="3">
        <v>1980</v>
      </c>
      <c r="B12" s="11">
        <v>429.24</v>
      </c>
      <c r="C12" s="3" t="s">
        <v>5</v>
      </c>
      <c r="D12" s="4">
        <f t="shared" si="0"/>
        <v>136.94923906454392</v>
      </c>
      <c r="E12" s="5">
        <v>1.2317019999999998E-6</v>
      </c>
    </row>
    <row r="13" spans="1:18" x14ac:dyDescent="0.25">
      <c r="A13" s="3">
        <v>1981</v>
      </c>
      <c r="B13" s="11">
        <v>351.83</v>
      </c>
      <c r="C13" s="3" t="s">
        <v>5</v>
      </c>
      <c r="D13" s="4">
        <f t="shared" si="0"/>
        <v>112.25153941868997</v>
      </c>
      <c r="E13" s="5">
        <v>2.5185499999999998E-6</v>
      </c>
    </row>
    <row r="14" spans="1:18" x14ac:dyDescent="0.25">
      <c r="A14" s="3">
        <v>1982</v>
      </c>
      <c r="B14" s="11">
        <v>360.43</v>
      </c>
      <c r="C14" s="3" t="s">
        <v>5</v>
      </c>
      <c r="D14" s="4">
        <f t="shared" si="0"/>
        <v>114.99537376766742</v>
      </c>
      <c r="E14" s="5">
        <v>6.6685833333333333E-6</v>
      </c>
    </row>
    <row r="15" spans="1:18" x14ac:dyDescent="0.25">
      <c r="A15" s="3">
        <v>1983</v>
      </c>
      <c r="B15" s="11">
        <v>419.26</v>
      </c>
      <c r="C15" s="3" t="s">
        <v>5</v>
      </c>
      <c r="D15" s="4">
        <f t="shared" si="0"/>
        <v>133.7651150177073</v>
      </c>
      <c r="E15" s="5">
        <v>2.9595141666666666E-5</v>
      </c>
    </row>
    <row r="16" spans="1:18" x14ac:dyDescent="0.25">
      <c r="A16" s="3">
        <v>1984</v>
      </c>
      <c r="B16" s="11">
        <v>404.44</v>
      </c>
      <c r="C16" s="3" t="s">
        <v>5</v>
      </c>
      <c r="D16" s="4">
        <f t="shared" si="0"/>
        <v>129.03678652330663</v>
      </c>
      <c r="E16" s="5">
        <v>2.1507783333333334E-4</v>
      </c>
    </row>
    <row r="17" spans="1:23" x14ac:dyDescent="0.25">
      <c r="A17" s="3">
        <v>1985</v>
      </c>
      <c r="B17" s="11">
        <v>384.61</v>
      </c>
      <c r="C17" s="3" t="s">
        <v>5</v>
      </c>
      <c r="D17" s="4">
        <f t="shared" si="0"/>
        <v>122.71001499537377</v>
      </c>
      <c r="E17" s="5">
        <v>1.6607925000000001E-3</v>
      </c>
    </row>
    <row r="18" spans="1:23" x14ac:dyDescent="0.25">
      <c r="A18" s="3">
        <v>1986</v>
      </c>
      <c r="B18" s="12">
        <v>267608.7</v>
      </c>
      <c r="C18" s="3" t="s">
        <v>6</v>
      </c>
      <c r="D18" s="4">
        <f>D17</f>
        <v>122.71001499537377</v>
      </c>
      <c r="E18" s="5">
        <v>3.1570041666666667E-3</v>
      </c>
    </row>
    <row r="19" spans="1:23" x14ac:dyDescent="0.25">
      <c r="A19" s="3">
        <v>1987</v>
      </c>
      <c r="B19" s="12">
        <v>271052</v>
      </c>
      <c r="C19" s="3" t="s">
        <v>6</v>
      </c>
      <c r="D19" s="4">
        <f t="shared" ref="D19:D22" si="1">$D$17*(B19/$B$18)</f>
        <v>124.28891506339684</v>
      </c>
      <c r="E19" s="5">
        <v>7.3032416666666657E-3</v>
      </c>
    </row>
    <row r="20" spans="1:23" x14ac:dyDescent="0.25">
      <c r="A20" s="3">
        <v>1988</v>
      </c>
      <c r="B20" s="12">
        <v>264473</v>
      </c>
      <c r="C20" s="3" t="s">
        <v>6</v>
      </c>
      <c r="D20" s="4">
        <f t="shared" si="1"/>
        <v>121.27216266089812</v>
      </c>
      <c r="E20" s="13">
        <v>3.2350000000000004E-2</v>
      </c>
    </row>
    <row r="21" spans="1:23" x14ac:dyDescent="0.25">
      <c r="A21" s="3">
        <v>1989</v>
      </c>
      <c r="B21" s="12">
        <v>253410</v>
      </c>
      <c r="C21" s="3" t="s">
        <v>6</v>
      </c>
      <c r="D21" s="4">
        <f t="shared" si="1"/>
        <v>116.19930480577673</v>
      </c>
      <c r="E21" s="13">
        <v>1.0285535833333335</v>
      </c>
    </row>
    <row r="22" spans="1:23" x14ac:dyDescent="0.25">
      <c r="A22" s="3">
        <v>1990</v>
      </c>
      <c r="B22" s="12">
        <v>253627</v>
      </c>
      <c r="C22" s="3" t="s">
        <v>6</v>
      </c>
      <c r="D22" s="4">
        <f t="shared" si="1"/>
        <v>116.29880857099063</v>
      </c>
      <c r="E22" s="14">
        <v>24.828900000000001</v>
      </c>
    </row>
    <row r="23" spans="1:23" x14ac:dyDescent="0.25">
      <c r="A23" s="3">
        <v>1991</v>
      </c>
      <c r="B23" s="15">
        <v>6485506.9469233276</v>
      </c>
      <c r="C23" s="3" t="s">
        <v>7</v>
      </c>
      <c r="D23" s="4">
        <f>D22</f>
        <v>116.29880857099063</v>
      </c>
      <c r="E23" s="14">
        <v>67.453100000000006</v>
      </c>
      <c r="F23" s="10"/>
      <c r="G23" s="10"/>
      <c r="H23" s="10"/>
    </row>
    <row r="24" spans="1:23" x14ac:dyDescent="0.25">
      <c r="A24" s="3">
        <v>1992</v>
      </c>
      <c r="B24" s="15">
        <v>7035025.5867938362</v>
      </c>
      <c r="C24" s="3" t="s">
        <v>7</v>
      </c>
      <c r="D24" s="4">
        <f t="shared" ref="D24:D54" si="2">$D$22*(B24/$B$23)</f>
        <v>126.15283596275975</v>
      </c>
      <c r="E24" s="14">
        <v>84.248900000000006</v>
      </c>
      <c r="H24" s="10"/>
    </row>
    <row r="25" spans="1:23" x14ac:dyDescent="0.25">
      <c r="A25" s="3">
        <v>1993</v>
      </c>
      <c r="B25" s="15">
        <v>7761508.2247009035</v>
      </c>
      <c r="C25" s="3" t="s">
        <v>7</v>
      </c>
      <c r="D25" s="4">
        <f t="shared" si="2"/>
        <v>139.18020081296368</v>
      </c>
      <c r="E25" s="14">
        <v>93.188999999999993</v>
      </c>
      <c r="H25" s="10"/>
    </row>
    <row r="26" spans="1:23" x14ac:dyDescent="0.25">
      <c r="A26" s="3">
        <v>1994</v>
      </c>
      <c r="B26" s="15">
        <v>8098028.310572112</v>
      </c>
      <c r="C26" s="3" t="s">
        <v>7</v>
      </c>
      <c r="D26" s="4">
        <f t="shared" si="2"/>
        <v>145.21471521057683</v>
      </c>
      <c r="E26" s="14">
        <v>97.081800000000001</v>
      </c>
      <c r="F26" s="16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</row>
    <row r="27" spans="1:23" x14ac:dyDescent="0.25">
      <c r="A27" s="3">
        <v>1995</v>
      </c>
      <c r="B27" s="15">
        <v>7908811.3856461942</v>
      </c>
      <c r="C27" s="3" t="s">
        <v>7</v>
      </c>
      <c r="D27" s="4">
        <f t="shared" si="2"/>
        <v>141.82165694844821</v>
      </c>
      <c r="E27" s="14">
        <v>100.35939999999999</v>
      </c>
    </row>
    <row r="28" spans="1:23" x14ac:dyDescent="0.25">
      <c r="A28" s="3">
        <v>1996</v>
      </c>
      <c r="B28" s="15">
        <v>8135361.8772270568</v>
      </c>
      <c r="C28" s="3" t="s">
        <v>7</v>
      </c>
      <c r="D28" s="4">
        <f t="shared" si="2"/>
        <v>145.88418474583582</v>
      </c>
      <c r="E28" s="14">
        <v>100.51560000000001</v>
      </c>
    </row>
    <row r="29" spans="1:23" x14ac:dyDescent="0.25">
      <c r="A29" s="3">
        <v>1997</v>
      </c>
      <c r="B29" s="15">
        <v>8905959.4449048098</v>
      </c>
      <c r="C29" s="3" t="s">
        <v>7</v>
      </c>
      <c r="D29" s="4">
        <f t="shared" si="2"/>
        <v>159.70262326453033</v>
      </c>
      <c r="E29" s="14">
        <v>101.04689999999999</v>
      </c>
    </row>
    <row r="30" spans="1:23" x14ac:dyDescent="0.25">
      <c r="A30" s="3">
        <v>1998</v>
      </c>
      <c r="B30" s="15">
        <v>9488295.9322833791</v>
      </c>
      <c r="C30" s="3" t="s">
        <v>7</v>
      </c>
      <c r="D30" s="4">
        <f t="shared" si="2"/>
        <v>170.14514382981497</v>
      </c>
      <c r="E30" s="14">
        <v>101.9813</v>
      </c>
    </row>
    <row r="31" spans="1:23" x14ac:dyDescent="0.25">
      <c r="A31" s="3">
        <v>1999</v>
      </c>
      <c r="B31" s="15">
        <v>9252615.1693661101</v>
      </c>
      <c r="C31" s="3" t="s">
        <v>7</v>
      </c>
      <c r="D31" s="4">
        <f t="shared" si="2"/>
        <v>165.91889102418298</v>
      </c>
      <c r="E31" s="14">
        <v>100.7915</v>
      </c>
    </row>
    <row r="32" spans="1:23" x14ac:dyDescent="0.25">
      <c r="A32" s="3">
        <v>2000</v>
      </c>
      <c r="B32" s="15">
        <v>9002038.4513383135</v>
      </c>
      <c r="C32" s="3" t="s">
        <v>7</v>
      </c>
      <c r="D32" s="4">
        <f t="shared" si="2"/>
        <v>161.42552234834085</v>
      </c>
      <c r="E32" s="14">
        <v>99.844899999999996</v>
      </c>
    </row>
    <row r="33" spans="1:24" x14ac:dyDescent="0.25">
      <c r="A33" s="3">
        <v>2001</v>
      </c>
      <c r="B33" s="15">
        <v>8322993.4966704417</v>
      </c>
      <c r="C33" s="3" t="s">
        <v>7</v>
      </c>
      <c r="D33" s="4">
        <f t="shared" si="2"/>
        <v>149.24881513943413</v>
      </c>
      <c r="E33" s="18">
        <v>98.781666666666652</v>
      </c>
    </row>
    <row r="34" spans="1:24" x14ac:dyDescent="0.25">
      <c r="A34" s="3">
        <v>2002</v>
      </c>
      <c r="B34" s="15">
        <v>7772198.0394271128</v>
      </c>
      <c r="C34" s="3" t="s">
        <v>7</v>
      </c>
      <c r="D34" s="4">
        <f t="shared" si="2"/>
        <v>139.37189172111891</v>
      </c>
      <c r="E34" s="18">
        <v>124.33499999999999</v>
      </c>
    </row>
    <row r="35" spans="1:24" x14ac:dyDescent="0.25">
      <c r="A35" s="3">
        <v>2003</v>
      </c>
      <c r="B35" s="15">
        <v>9339929.5945354141</v>
      </c>
      <c r="C35" s="3" t="s">
        <v>7</v>
      </c>
      <c r="D35" s="4">
        <f t="shared" si="2"/>
        <v>167.48462269348113</v>
      </c>
      <c r="E35" s="18">
        <v>141.05000000000001</v>
      </c>
    </row>
    <row r="36" spans="1:24" x14ac:dyDescent="0.25">
      <c r="A36" s="3">
        <v>2004</v>
      </c>
      <c r="B36" s="19">
        <v>10874929.097083896</v>
      </c>
      <c r="C36" s="3" t="s">
        <v>7</v>
      </c>
      <c r="D36" s="4">
        <f t="shared" si="2"/>
        <v>195.01039897657333</v>
      </c>
      <c r="E36" s="18">
        <v>147.28</v>
      </c>
    </row>
    <row r="37" spans="1:24" x14ac:dyDescent="0.25">
      <c r="A37" s="3">
        <v>2005</v>
      </c>
      <c r="B37" s="19">
        <v>11380763.411127962</v>
      </c>
      <c r="C37" s="3" t="s">
        <v>7</v>
      </c>
      <c r="D37" s="4">
        <f t="shared" si="2"/>
        <v>204.08107433612355</v>
      </c>
      <c r="E37" s="18">
        <v>167.48</v>
      </c>
    </row>
    <row r="38" spans="1:24" x14ac:dyDescent="0.25">
      <c r="A38" s="3">
        <v>2006</v>
      </c>
      <c r="B38" s="19">
        <v>12259303.976933869</v>
      </c>
      <c r="C38" s="3" t="s">
        <v>7</v>
      </c>
      <c r="D38" s="4">
        <f t="shared" si="2"/>
        <v>219.83515831455196</v>
      </c>
      <c r="E38" s="18">
        <v>179.08</v>
      </c>
    </row>
    <row r="39" spans="1:24" x14ac:dyDescent="0.25">
      <c r="A39" s="3">
        <v>2007</v>
      </c>
      <c r="B39" s="19">
        <v>12770718.617713338</v>
      </c>
      <c r="C39" s="3" t="s">
        <v>7</v>
      </c>
      <c r="D39" s="4">
        <f t="shared" si="2"/>
        <v>229.00590069370071</v>
      </c>
      <c r="E39" s="18">
        <v>194.89</v>
      </c>
    </row>
    <row r="40" spans="1:24" x14ac:dyDescent="0.25">
      <c r="A40" s="3">
        <v>2008</v>
      </c>
      <c r="B40" s="19">
        <v>13065173.97313641</v>
      </c>
      <c r="C40" s="3" t="s">
        <v>7</v>
      </c>
      <c r="D40" s="4">
        <f t="shared" si="2"/>
        <v>234.28610581772668</v>
      </c>
      <c r="E40" s="18">
        <v>211.61661758333335</v>
      </c>
    </row>
    <row r="41" spans="1:24" x14ac:dyDescent="0.25">
      <c r="A41" s="3">
        <v>2009</v>
      </c>
      <c r="B41" s="19">
        <v>12700761.719855074</v>
      </c>
      <c r="C41" s="3" t="s">
        <v>7</v>
      </c>
      <c r="D41" s="4">
        <f t="shared" si="2"/>
        <v>227.75142607223748</v>
      </c>
      <c r="E41" s="18">
        <v>224.88780650000001</v>
      </c>
    </row>
    <row r="42" spans="1:24" x14ac:dyDescent="0.25">
      <c r="A42" s="3">
        <v>2010</v>
      </c>
      <c r="B42" s="19">
        <v>13262431.723353179</v>
      </c>
      <c r="C42" s="3" t="s">
        <v>7</v>
      </c>
      <c r="D42" s="4">
        <f t="shared" si="2"/>
        <v>237.82335302435985</v>
      </c>
      <c r="E42" s="18">
        <v>248.41401550000003</v>
      </c>
    </row>
    <row r="43" spans="1:24" x14ac:dyDescent="0.25">
      <c r="A43" s="3">
        <v>2011</v>
      </c>
      <c r="B43" s="19">
        <v>13739583.703819767</v>
      </c>
      <c r="C43" s="3" t="s">
        <v>7</v>
      </c>
      <c r="D43" s="4">
        <f t="shared" si="2"/>
        <v>246.37969369127993</v>
      </c>
      <c r="E43" s="18">
        <v>272.69744600000001</v>
      </c>
    </row>
    <row r="44" spans="1:24" x14ac:dyDescent="0.25">
      <c r="A44" s="3">
        <v>2012</v>
      </c>
      <c r="B44" s="19">
        <v>13545085.639384663</v>
      </c>
      <c r="C44" s="3" t="s">
        <v>7</v>
      </c>
      <c r="D44" s="4">
        <f t="shared" si="2"/>
        <v>242.89193346709314</v>
      </c>
      <c r="E44" s="18">
        <v>300.08478674999998</v>
      </c>
      <c r="F44" s="16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>
        <v>13585607.412423011</v>
      </c>
      <c r="U44" s="17">
        <v>13410851.44597216</v>
      </c>
      <c r="V44" s="17">
        <v>12342645.880973661</v>
      </c>
      <c r="W44" s="17">
        <v>13635887.646933109</v>
      </c>
      <c r="X44" s="17">
        <v>14178694.442281883</v>
      </c>
    </row>
    <row r="45" spans="1:24" x14ac:dyDescent="0.25">
      <c r="A45" s="3">
        <v>2013</v>
      </c>
      <c r="B45" s="19">
        <v>14211513.62051825</v>
      </c>
      <c r="C45" s="3" t="s">
        <v>7</v>
      </c>
      <c r="D45" s="4">
        <f t="shared" si="2"/>
        <v>254.8423917486889</v>
      </c>
      <c r="E45" s="18">
        <v>331.95090075000002</v>
      </c>
    </row>
    <row r="46" spans="1:24" x14ac:dyDescent="0.25">
      <c r="A46" s="3">
        <v>2014</v>
      </c>
      <c r="B46" s="19">
        <v>13687924.078647634</v>
      </c>
      <c r="C46" s="3" t="s">
        <v>7</v>
      </c>
      <c r="D46" s="4">
        <f t="shared" si="2"/>
        <v>245.4533277328573</v>
      </c>
      <c r="E46" s="4"/>
    </row>
    <row r="47" spans="1:24" x14ac:dyDescent="0.25">
      <c r="A47" s="3">
        <v>2015</v>
      </c>
      <c r="B47" s="19">
        <v>14189502.676873595</v>
      </c>
      <c r="C47" s="3" t="s">
        <v>7</v>
      </c>
      <c r="D47" s="4">
        <f t="shared" si="2"/>
        <v>254.44768913833843</v>
      </c>
      <c r="E47" s="4"/>
      <c r="O47" s="17"/>
    </row>
    <row r="48" spans="1:24" x14ac:dyDescent="0.25">
      <c r="A48" s="3">
        <v>2016</v>
      </c>
      <c r="B48" s="19">
        <v>13373002.759948755</v>
      </c>
      <c r="C48" s="3" t="s">
        <v>7</v>
      </c>
      <c r="D48" s="4">
        <f t="shared" si="2"/>
        <v>239.80612475273261</v>
      </c>
      <c r="E48" s="4"/>
      <c r="O48" s="17"/>
    </row>
    <row r="49" spans="1:15" x14ac:dyDescent="0.25">
      <c r="A49" s="3">
        <v>2017</v>
      </c>
      <c r="B49" s="19">
        <v>13655492.409271004</v>
      </c>
      <c r="C49" s="3" t="s">
        <v>7</v>
      </c>
      <c r="D49" s="4">
        <f t="shared" si="2"/>
        <v>244.87175954715681</v>
      </c>
      <c r="E49" s="4"/>
      <c r="O49" s="17"/>
    </row>
    <row r="50" spans="1:15" x14ac:dyDescent="0.25">
      <c r="A50" s="3">
        <v>2018</v>
      </c>
      <c r="B50" s="19">
        <v>13585607.412423011</v>
      </c>
      <c r="C50" s="3" t="s">
        <v>7</v>
      </c>
      <c r="D50" s="4">
        <f t="shared" si="2"/>
        <v>243.61857426234812</v>
      </c>
      <c r="E50" s="4"/>
      <c r="O50" s="17"/>
    </row>
    <row r="51" spans="1:15" x14ac:dyDescent="0.25">
      <c r="A51" s="3">
        <v>2019</v>
      </c>
      <c r="B51" s="19">
        <v>13410851.44597216</v>
      </c>
      <c r="C51" s="3" t="s">
        <v>7</v>
      </c>
      <c r="D51" s="4">
        <f t="shared" si="2"/>
        <v>240.48483146394625</v>
      </c>
      <c r="E51" s="4"/>
      <c r="O51" s="17"/>
    </row>
    <row r="52" spans="1:15" x14ac:dyDescent="0.25">
      <c r="A52" s="3">
        <v>2020</v>
      </c>
      <c r="B52" s="19">
        <v>12342645.880973661</v>
      </c>
      <c r="C52" s="3" t="s">
        <v>7</v>
      </c>
      <c r="D52" s="4">
        <f t="shared" si="2"/>
        <v>221.32965430741552</v>
      </c>
      <c r="E52" s="4"/>
      <c r="O52" s="17"/>
    </row>
    <row r="53" spans="1:15" x14ac:dyDescent="0.25">
      <c r="A53" s="3">
        <v>2021</v>
      </c>
      <c r="B53" s="19">
        <v>13635887.646933109</v>
      </c>
      <c r="C53" s="3" t="s">
        <v>7</v>
      </c>
      <c r="D53" s="4">
        <f t="shared" si="2"/>
        <v>244.52020483896297</v>
      </c>
      <c r="E53" s="4"/>
      <c r="O53" s="17"/>
    </row>
    <row r="54" spans="1:15" x14ac:dyDescent="0.25">
      <c r="A54" s="3">
        <v>2022</v>
      </c>
      <c r="B54" s="19">
        <v>14178694.442281883</v>
      </c>
      <c r="C54" s="3" t="s">
        <v>7</v>
      </c>
      <c r="D54" s="4">
        <f t="shared" si="2"/>
        <v>254.25387471241018</v>
      </c>
      <c r="E54" s="4"/>
      <c r="O54" s="17"/>
    </row>
    <row r="55" spans="1:15" x14ac:dyDescent="0.25">
      <c r="O55" s="17"/>
    </row>
    <row r="56" spans="1:15" x14ac:dyDescent="0.25">
      <c r="O56" s="17"/>
    </row>
    <row r="57" spans="1:15" x14ac:dyDescent="0.25">
      <c r="O57" s="17"/>
    </row>
    <row r="58" spans="1:15" x14ac:dyDescent="0.25">
      <c r="O58" s="17"/>
    </row>
    <row r="59" spans="1:15" x14ac:dyDescent="0.25">
      <c r="O59" s="17"/>
    </row>
    <row r="60" spans="1:15" x14ac:dyDescent="0.25">
      <c r="O60" s="17"/>
    </row>
    <row r="61" spans="1:15" x14ac:dyDescent="0.25">
      <c r="O61" s="17"/>
    </row>
    <row r="62" spans="1:15" x14ac:dyDescent="0.25">
      <c r="O62" s="17"/>
    </row>
    <row r="63" spans="1:15" x14ac:dyDescent="0.25">
      <c r="O63" s="17"/>
    </row>
    <row r="64" spans="1:15" x14ac:dyDescent="0.25">
      <c r="O64" s="17"/>
    </row>
    <row r="65" spans="15:15" x14ac:dyDescent="0.25">
      <c r="O65" s="17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Evolución PBG MZA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Patricia Elizabeth Olguin</dc:creator>
  <cp:lastModifiedBy>Jorge Matzkin</cp:lastModifiedBy>
  <dcterms:created xsi:type="dcterms:W3CDTF">2021-12-22T20:32:41Z</dcterms:created>
  <dcterms:modified xsi:type="dcterms:W3CDTF">2026-08-06T15:14:23Z</dcterms:modified>
</cp:coreProperties>
</file>