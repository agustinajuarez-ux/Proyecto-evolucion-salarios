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Facultad\Proyecto-evolucion-salarios\"/>
    </mc:Choice>
  </mc:AlternateContent>
  <xr:revisionPtr revIDLastSave="0" documentId="13_ncr:1_{8667CD76-D979-417E-8F64-F436F7DDA5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olución PBG MZA" sheetId="14" r:id="rId1"/>
  </sheets>
  <calcPr calcId="191029"/>
  <extLst>
    <ext uri="GoogleSheetsCustomDataVersion2">
      <go:sheetsCustomData xmlns:go="http://customooxmlschemas.google.com/" r:id="rId18" roundtripDataChecksum="/dUSXa82hxQOGMb+5WJan/aJb6jPiaBSIQkW1CqgTQI="/>
    </ext>
  </extLst>
</workbook>
</file>

<file path=xl/calcChain.xml><?xml version="1.0" encoding="utf-8"?>
<calcChain xmlns="http://schemas.openxmlformats.org/spreadsheetml/2006/main">
  <c r="F13" i="14" l="1"/>
  <c r="F4" i="14"/>
  <c r="F5" i="14"/>
  <c r="F6" i="14"/>
  <c r="F7" i="14"/>
  <c r="F8" i="14"/>
  <c r="F9" i="14"/>
  <c r="F10" i="14"/>
  <c r="F11" i="14"/>
  <c r="F12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3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4" i="14"/>
  <c r="O3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1" i="14" l="1"/>
  <c r="D20" i="14"/>
  <c r="D19" i="14"/>
  <c r="D18" i="14"/>
  <c r="D22" i="14"/>
  <c r="D53" i="14" l="1"/>
  <c r="D45" i="14"/>
  <c r="D37" i="14"/>
  <c r="D29" i="14"/>
  <c r="D52" i="14"/>
  <c r="D44" i="14"/>
  <c r="D36" i="14"/>
  <c r="D28" i="14"/>
  <c r="D51" i="14"/>
  <c r="D43" i="14"/>
  <c r="D35" i="14"/>
  <c r="D27" i="14"/>
  <c r="D50" i="14"/>
  <c r="D42" i="14"/>
  <c r="D34" i="14"/>
  <c r="D26" i="14"/>
  <c r="D54" i="14"/>
  <c r="D38" i="14"/>
  <c r="D41" i="14"/>
  <c r="D49" i="14"/>
  <c r="D33" i="14"/>
  <c r="D30" i="14"/>
  <c r="D25" i="14"/>
  <c r="D48" i="14"/>
  <c r="D32" i="14"/>
  <c r="D46" i="14"/>
  <c r="D47" i="14"/>
  <c r="D31" i="14"/>
  <c r="D40" i="14"/>
  <c r="D24" i="14"/>
  <c r="D39" i="14"/>
  <c r="D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8" authorId="0" shapeId="0" xr:uid="{00000000-0006-0000-0D00-000001000000}">
      <text>
        <r>
          <rPr>
            <sz val="11"/>
            <color theme="1"/>
            <rFont val="Calibri"/>
            <scheme val="minor"/>
          </rPr>
          <t>======
ID#AAACE68eTZU
Jorge MATZKIN    (2026-08-06 14:21:35)
Queda igual al año anterior debido al cambio de moneda</t>
        </r>
      </text>
    </comment>
    <comment ref="D23" authorId="0" shapeId="0" xr:uid="{00000000-0006-0000-0D00-000002000000}">
      <text>
        <r>
          <rPr>
            <sz val="11"/>
            <color theme="1"/>
            <rFont val="Calibri"/>
            <scheme val="minor"/>
          </rPr>
          <t>======
ID#AAACE68eTZY
Jorge MATZKIN    (2026-08-06 14:21:42)
Queda igual al año anterior debido al cambio de moneda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jTRlDBVRkOA5vssWee98+oxwHQ=="/>
    </ext>
  </extLst>
</comments>
</file>

<file path=xl/sharedStrings.xml><?xml version="1.0" encoding="utf-8"?>
<sst xmlns="http://schemas.openxmlformats.org/spreadsheetml/2006/main" count="62" uniqueCount="11">
  <si>
    <t>Año</t>
  </si>
  <si>
    <t>Moneda</t>
  </si>
  <si>
    <t>PBG</t>
  </si>
  <si>
    <t>PBG Indice 1970</t>
  </si>
  <si>
    <t>IPC INDEC Base 1999=100</t>
  </si>
  <si>
    <t>Austral de 1970</t>
  </si>
  <si>
    <t>Pesos de 1996</t>
  </si>
  <si>
    <t>Miles de pesos de 1993</t>
  </si>
  <si>
    <t>PBI a precios de mercadoBase Ferreres (mill. de $ 1993)</t>
  </si>
  <si>
    <t>Variación del IPC</t>
  </si>
  <si>
    <t>Variación del PBI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</si>
</sst>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E+00_)"/>
    <numFmt numFmtId="166" formatCode="#,##0.0"/>
    <numFmt numFmtId="167" formatCode="_(* #,##0.00000_);_(* \(#,##0.00000\);_(* &quot;-&quot;??_);_(@_)"/>
    <numFmt numFmtId="168" formatCode="_(* #,##0.0000_);_(* \(#,##0.0000\);_(* &quot;-&quot;??_);_(@_)"/>
    <numFmt numFmtId="169" formatCode="#,##0\ \ \ \ "/>
    <numFmt numFmtId="170" formatCode="#,##0\ \ "/>
  </numFmts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3"/>
      <color theme="1"/>
      <name val="Arial"/>
    </font>
    <font>
      <sz val="11"/>
      <color theme="1"/>
      <name val="Arial"/>
    </font>
    <font>
      <sz val="11"/>
      <color theme="1"/>
      <name val="Arial"/>
    </font>
    <font>
      <sz val="8"/>
      <color theme="1"/>
      <name val="Arial"/>
    </font>
    <font>
      <sz val="6"/>
      <name val="Arial"/>
      <family val="2"/>
    </font>
    <font>
      <sz val="9"/>
      <name val="Arial"/>
      <family val="2"/>
    </font>
    <font>
      <sz val="9"/>
      <color indexed="62"/>
      <name val="Arial"/>
      <family val="2"/>
    </font>
    <font>
      <b/>
      <sz val="9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9" fontId="7" fillId="0" borderId="5"/>
  </cellStyleXfs>
  <cellXfs count="23">
    <xf numFmtId="0" fontId="0" fillId="0" borderId="0" xfId="0"/>
    <xf numFmtId="0" fontId="3" fillId="0" borderId="3" xfId="0" applyFont="1" applyBorder="1"/>
    <xf numFmtId="0" fontId="2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0" borderId="3" xfId="0" applyFont="1" applyBorder="1"/>
    <xf numFmtId="165" fontId="5" fillId="0" borderId="3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 vertical="center" wrapText="1"/>
    </xf>
    <xf numFmtId="4" fontId="4" fillId="0" borderId="3" xfId="0" applyNumberFormat="1" applyFont="1" applyBorder="1" applyAlignment="1">
      <alignment horizontal="right" wrapText="1"/>
    </xf>
    <xf numFmtId="0" fontId="6" fillId="0" borderId="0" xfId="0" applyFont="1" applyAlignment="1">
      <alignment horizontal="right"/>
    </xf>
    <xf numFmtId="0" fontId="4" fillId="0" borderId="3" xfId="0" applyFont="1" applyBorder="1" applyAlignment="1">
      <alignment horizontal="right" wrapText="1"/>
    </xf>
    <xf numFmtId="166" fontId="4" fillId="0" borderId="3" xfId="0" applyNumberFormat="1" applyFont="1" applyBorder="1" applyAlignment="1">
      <alignment horizontal="right" wrapText="1"/>
    </xf>
    <xf numFmtId="167" fontId="5" fillId="0" borderId="3" xfId="0" applyNumberFormat="1" applyFont="1" applyBorder="1" applyAlignment="1">
      <alignment horizontal="right"/>
    </xf>
    <xf numFmtId="168" fontId="5" fillId="0" borderId="3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 wrapText="1"/>
    </xf>
    <xf numFmtId="3" fontId="6" fillId="2" borderId="1" xfId="0" applyNumberFormat="1" applyFont="1" applyFill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3" fontId="4" fillId="2" borderId="3" xfId="0" applyNumberFormat="1" applyFont="1" applyFill="1" applyBorder="1" applyAlignment="1">
      <alignment horizontal="right" wrapText="1"/>
    </xf>
    <xf numFmtId="2" fontId="0" fillId="0" borderId="0" xfId="0" applyNumberFormat="1"/>
    <xf numFmtId="170" fontId="8" fillId="0" borderId="2" xfId="1" applyNumberFormat="1" applyFont="1" applyBorder="1" applyAlignment="1">
      <alignment horizontal="right"/>
    </xf>
    <xf numFmtId="1" fontId="9" fillId="0" borderId="2" xfId="1" applyNumberFormat="1" applyFont="1" applyBorder="1" applyAlignment="1">
      <alignment horizontal="center"/>
    </xf>
    <xf numFmtId="1" fontId="10" fillId="0" borderId="2" xfId="1" applyNumberFormat="1" applyFont="1" applyBorder="1" applyAlignment="1">
      <alignment horizontal="center"/>
    </xf>
    <xf numFmtId="0" fontId="3" fillId="0" borderId="4" xfId="0" applyFont="1" applyFill="1" applyBorder="1"/>
    <xf numFmtId="165" fontId="0" fillId="0" borderId="0" xfId="0" applyNumberFormat="1"/>
  </cellXfs>
  <cellStyles count="2">
    <cellStyle name="Normal" xfId="0" builtinId="0"/>
    <cellStyle name="Normal_PBI pk por Sectores final" xfId="1" xr:uid="{01AEF0FB-32A3-424C-9468-ECB2E56EA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X65"/>
  <sheetViews>
    <sheetView tabSelected="1" workbookViewId="0">
      <selection activeCell="O19" sqref="O19"/>
    </sheetView>
  </sheetViews>
  <sheetFormatPr baseColWidth="10" defaultColWidth="14.42578125" defaultRowHeight="15" customHeight="1" x14ac:dyDescent="0.25"/>
  <cols>
    <col min="7" max="7" width="14.42578125" style="17"/>
  </cols>
  <sheetData>
    <row r="1" spans="1:18" ht="15" customHeight="1" x14ac:dyDescent="0.25">
      <c r="A1" s="1" t="s">
        <v>0</v>
      </c>
      <c r="B1" s="1" t="s">
        <v>2</v>
      </c>
      <c r="C1" s="1" t="s">
        <v>1</v>
      </c>
      <c r="D1" s="2" t="s">
        <v>3</v>
      </c>
      <c r="E1" s="2" t="s">
        <v>4</v>
      </c>
      <c r="F1" s="21" t="s">
        <v>9</v>
      </c>
      <c r="M1" t="s">
        <v>0</v>
      </c>
      <c r="N1" t="s">
        <v>8</v>
      </c>
      <c r="O1" t="s">
        <v>10</v>
      </c>
    </row>
    <row r="2" spans="1:18" ht="15" customHeight="1" x14ac:dyDescent="0.25">
      <c r="A2" s="3">
        <v>1970</v>
      </c>
      <c r="B2" s="3">
        <v>313.43</v>
      </c>
      <c r="C2" s="3" t="s">
        <v>5</v>
      </c>
      <c r="D2" s="4">
        <v>100</v>
      </c>
      <c r="E2" s="5">
        <v>4.7536083333333332E-10</v>
      </c>
      <c r="M2" s="19">
        <v>1969</v>
      </c>
      <c r="N2" s="18">
        <v>152643.77335610622</v>
      </c>
    </row>
    <row r="3" spans="1:18" ht="15" customHeight="1" x14ac:dyDescent="0.25">
      <c r="A3" s="3">
        <v>1971</v>
      </c>
      <c r="B3" s="6">
        <v>334.41</v>
      </c>
      <c r="C3" s="3" t="s">
        <v>5</v>
      </c>
      <c r="D3" s="4">
        <f t="shared" ref="D3:D17" si="0">(B3/$B$2)*100</f>
        <v>106.69367960948219</v>
      </c>
      <c r="E3" s="5">
        <v>6.4042000000000005E-10</v>
      </c>
      <c r="F3" s="22">
        <f>E3/E2</f>
        <v>1.3472292100912817</v>
      </c>
      <c r="M3" s="20">
        <v>1970</v>
      </c>
      <c r="N3" s="18">
        <v>160860.95636173122</v>
      </c>
      <c r="O3">
        <f>N3/N2</f>
        <v>1.0538324153351146</v>
      </c>
    </row>
    <row r="4" spans="1:18" ht="15" customHeight="1" x14ac:dyDescent="0.25">
      <c r="A4" s="3">
        <v>1972</v>
      </c>
      <c r="B4" s="7">
        <v>356.26</v>
      </c>
      <c r="C4" s="3" t="s">
        <v>5</v>
      </c>
      <c r="D4" s="4">
        <f t="shared" si="0"/>
        <v>113.66493315891906</v>
      </c>
      <c r="E4" s="5">
        <v>1.0147766666666666E-9</v>
      </c>
      <c r="F4" s="22">
        <f t="shared" ref="F4:F54" si="1">E4/E3</f>
        <v>1.5845486815943701</v>
      </c>
      <c r="M4" s="19">
        <v>1971</v>
      </c>
      <c r="N4" s="18">
        <v>166912.60622155317</v>
      </c>
      <c r="O4">
        <f>N4/N3</f>
        <v>1.0376203772294719</v>
      </c>
    </row>
    <row r="5" spans="1:18" ht="15" customHeight="1" x14ac:dyDescent="0.25">
      <c r="A5" s="3">
        <v>1973</v>
      </c>
      <c r="B5" s="7">
        <v>364.33</v>
      </c>
      <c r="C5" s="3" t="s">
        <v>5</v>
      </c>
      <c r="D5" s="4">
        <f t="shared" si="0"/>
        <v>116.23967073987811</v>
      </c>
      <c r="E5" s="5">
        <v>1.6267208333333335E-9</v>
      </c>
      <c r="F5" s="22">
        <f t="shared" si="1"/>
        <v>1.6030333439541709</v>
      </c>
      <c r="M5" s="19">
        <v>1972</v>
      </c>
      <c r="N5" s="18">
        <v>170379.33445085437</v>
      </c>
      <c r="O5">
        <f t="shared" ref="O5:O37" si="2">N5/N4</f>
        <v>1.0207697208004745</v>
      </c>
      <c r="P5" s="8"/>
      <c r="Q5" s="8"/>
      <c r="R5" s="8"/>
    </row>
    <row r="6" spans="1:18" ht="15" customHeight="1" x14ac:dyDescent="0.25">
      <c r="A6" s="3">
        <v>1974</v>
      </c>
      <c r="B6" s="7">
        <v>406.37</v>
      </c>
      <c r="C6" s="3" t="s">
        <v>5</v>
      </c>
      <c r="D6" s="4">
        <f t="shared" si="0"/>
        <v>129.65255399929811</v>
      </c>
      <c r="E6" s="5">
        <v>2.0206541666666667E-9</v>
      </c>
      <c r="F6" s="22">
        <f t="shared" si="1"/>
        <v>1.2421640672825955</v>
      </c>
      <c r="M6" s="19">
        <v>1973</v>
      </c>
      <c r="N6" s="18">
        <v>176760.97430606186</v>
      </c>
      <c r="O6">
        <f t="shared" si="2"/>
        <v>1.0374554805943808</v>
      </c>
    </row>
    <row r="7" spans="1:18" ht="15" customHeight="1" x14ac:dyDescent="0.25">
      <c r="A7" s="3">
        <v>1975</v>
      </c>
      <c r="B7" s="7">
        <v>355.2</v>
      </c>
      <c r="C7" s="3" t="s">
        <v>5</v>
      </c>
      <c r="D7" s="4">
        <f t="shared" si="0"/>
        <v>113.32673962288229</v>
      </c>
      <c r="E7" s="5">
        <v>5.7142666666666667E-9</v>
      </c>
      <c r="F7" s="22">
        <f t="shared" si="1"/>
        <v>2.8279290741240977</v>
      </c>
      <c r="M7" s="19">
        <v>1974</v>
      </c>
      <c r="N7" s="18">
        <v>186316.01795022786</v>
      </c>
      <c r="O7">
        <f t="shared" si="2"/>
        <v>1.0540562965421396</v>
      </c>
    </row>
    <row r="8" spans="1:18" ht="15" customHeight="1" x14ac:dyDescent="0.25">
      <c r="A8" s="3">
        <v>1976</v>
      </c>
      <c r="B8" s="7">
        <v>404.05</v>
      </c>
      <c r="C8" s="3" t="s">
        <v>5</v>
      </c>
      <c r="D8" s="4">
        <f t="shared" si="0"/>
        <v>128.91235682608558</v>
      </c>
      <c r="E8" s="5">
        <v>3.1086300000000001E-8</v>
      </c>
      <c r="F8" s="22">
        <f t="shared" si="1"/>
        <v>5.4401206337354457</v>
      </c>
      <c r="M8" s="19">
        <v>1975</v>
      </c>
      <c r="N8" s="18">
        <v>185210.55146568603</v>
      </c>
      <c r="O8">
        <f t="shared" si="2"/>
        <v>0.99406671258486679</v>
      </c>
    </row>
    <row r="9" spans="1:18" ht="15" customHeight="1" x14ac:dyDescent="0.25">
      <c r="A9" s="3">
        <v>1977</v>
      </c>
      <c r="B9" s="7">
        <v>380.63</v>
      </c>
      <c r="C9" s="3" t="s">
        <v>5</v>
      </c>
      <c r="D9" s="4">
        <f t="shared" si="0"/>
        <v>121.44019398270747</v>
      </c>
      <c r="E9" s="5">
        <v>8.5808049999999979E-8</v>
      </c>
      <c r="F9" s="22">
        <f t="shared" si="1"/>
        <v>2.7603172458607159</v>
      </c>
      <c r="M9" s="19">
        <v>1976</v>
      </c>
      <c r="N9" s="18">
        <v>185188.55213266029</v>
      </c>
      <c r="O9">
        <f t="shared" si="2"/>
        <v>0.99988121987191525</v>
      </c>
    </row>
    <row r="10" spans="1:18" ht="15" customHeight="1" x14ac:dyDescent="0.25">
      <c r="A10" s="3">
        <v>1978</v>
      </c>
      <c r="B10" s="9">
        <v>423.6</v>
      </c>
      <c r="C10" s="3" t="s">
        <v>5</v>
      </c>
      <c r="D10" s="4">
        <f t="shared" si="0"/>
        <v>135.14979421242384</v>
      </c>
      <c r="E10" s="5">
        <v>2.3640874999999998E-7</v>
      </c>
      <c r="F10" s="22">
        <f t="shared" si="1"/>
        <v>2.7550882463824786</v>
      </c>
      <c r="M10" s="19">
        <v>1977</v>
      </c>
      <c r="N10" s="18">
        <v>197015.02691173065</v>
      </c>
      <c r="O10">
        <f t="shared" si="2"/>
        <v>1.063861802702569</v>
      </c>
    </row>
    <row r="11" spans="1:18" ht="15" customHeight="1" x14ac:dyDescent="0.25">
      <c r="A11" s="3">
        <v>1979</v>
      </c>
      <c r="B11" s="9">
        <v>481.05</v>
      </c>
      <c r="C11" s="3" t="s">
        <v>5</v>
      </c>
      <c r="D11" s="4">
        <f t="shared" si="0"/>
        <v>153.47924576460454</v>
      </c>
      <c r="E11" s="5">
        <v>6.1350683333333345E-7</v>
      </c>
      <c r="F11" s="22">
        <f t="shared" si="1"/>
        <v>2.5951105165664701</v>
      </c>
      <c r="M11" s="19">
        <v>1978</v>
      </c>
      <c r="N11" s="18">
        <v>190666.38605606163</v>
      </c>
      <c r="O11">
        <f t="shared" si="2"/>
        <v>0.96777585468892469</v>
      </c>
    </row>
    <row r="12" spans="1:18" ht="15" customHeight="1" x14ac:dyDescent="0.25">
      <c r="A12" s="3">
        <v>1980</v>
      </c>
      <c r="B12" s="9">
        <v>429.24</v>
      </c>
      <c r="C12" s="3" t="s">
        <v>5</v>
      </c>
      <c r="D12" s="4">
        <f t="shared" si="0"/>
        <v>136.94923906454392</v>
      </c>
      <c r="E12" s="5">
        <v>1.2317019999999998E-6</v>
      </c>
      <c r="F12" s="22">
        <f t="shared" si="1"/>
        <v>2.0076418600064487</v>
      </c>
      <c r="M12" s="19">
        <v>1979</v>
      </c>
      <c r="N12" s="18">
        <v>203891.65176001663</v>
      </c>
      <c r="O12">
        <f t="shared" si="2"/>
        <v>1.0693633837485459</v>
      </c>
    </row>
    <row r="13" spans="1:18" ht="15" customHeight="1" x14ac:dyDescent="0.25">
      <c r="A13" s="3">
        <v>1981</v>
      </c>
      <c r="B13" s="9">
        <v>351.83</v>
      </c>
      <c r="C13" s="3" t="s">
        <v>5</v>
      </c>
      <c r="D13" s="4">
        <f t="shared" si="0"/>
        <v>112.25153941868997</v>
      </c>
      <c r="E13" s="5">
        <v>2.5185499999999998E-6</v>
      </c>
      <c r="F13" s="22">
        <f>E13/E12</f>
        <v>2.0447721932740226</v>
      </c>
      <c r="M13" s="20">
        <v>1980</v>
      </c>
      <c r="N13" s="18">
        <v>207011.43217472488</v>
      </c>
      <c r="O13">
        <f t="shared" si="2"/>
        <v>1.0153011679869084</v>
      </c>
    </row>
    <row r="14" spans="1:18" ht="15" customHeight="1" x14ac:dyDescent="0.25">
      <c r="A14" s="3">
        <v>1982</v>
      </c>
      <c r="B14" s="9">
        <v>360.43</v>
      </c>
      <c r="C14" s="3" t="s">
        <v>5</v>
      </c>
      <c r="D14" s="4">
        <f t="shared" si="0"/>
        <v>114.99537376766742</v>
      </c>
      <c r="E14" s="5">
        <v>6.6685833333333333E-6</v>
      </c>
      <c r="F14" s="22">
        <f t="shared" si="1"/>
        <v>2.6477867556067314</v>
      </c>
      <c r="M14" s="19">
        <v>1981</v>
      </c>
      <c r="N14" s="18">
        <v>195787.08557126726</v>
      </c>
      <c r="O14">
        <f t="shared" si="2"/>
        <v>0.94577909787134906</v>
      </c>
    </row>
    <row r="15" spans="1:18" ht="15" customHeight="1" x14ac:dyDescent="0.25">
      <c r="A15" s="3">
        <v>1983</v>
      </c>
      <c r="B15" s="9">
        <v>419.26</v>
      </c>
      <c r="C15" s="3" t="s">
        <v>5</v>
      </c>
      <c r="D15" s="4">
        <f t="shared" si="0"/>
        <v>133.7651150177073</v>
      </c>
      <c r="E15" s="5">
        <v>2.9595141666666666E-5</v>
      </c>
      <c r="F15" s="22">
        <f t="shared" si="1"/>
        <v>4.4379953263436764</v>
      </c>
      <c r="M15" s="19">
        <v>1982</v>
      </c>
      <c r="N15" s="18">
        <v>189602.24152446413</v>
      </c>
      <c r="O15">
        <f t="shared" si="2"/>
        <v>0.96841035746174475</v>
      </c>
    </row>
    <row r="16" spans="1:18" ht="15" customHeight="1" x14ac:dyDescent="0.25">
      <c r="A16" s="3">
        <v>1984</v>
      </c>
      <c r="B16" s="9">
        <v>404.44</v>
      </c>
      <c r="C16" s="3" t="s">
        <v>5</v>
      </c>
      <c r="D16" s="4">
        <f t="shared" si="0"/>
        <v>129.03678652330663</v>
      </c>
      <c r="E16" s="5">
        <v>2.1507783333333334E-4</v>
      </c>
      <c r="F16" s="22">
        <f t="shared" si="1"/>
        <v>7.2673358267981492</v>
      </c>
      <c r="M16" s="19">
        <v>1983</v>
      </c>
      <c r="N16" s="18">
        <v>197400.61051265232</v>
      </c>
      <c r="O16">
        <f t="shared" si="2"/>
        <v>1.0411301518668068</v>
      </c>
    </row>
    <row r="17" spans="1:23" ht="15" customHeight="1" x14ac:dyDescent="0.25">
      <c r="A17" s="3">
        <v>1985</v>
      </c>
      <c r="B17" s="9">
        <v>384.61</v>
      </c>
      <c r="C17" s="3" t="s">
        <v>5</v>
      </c>
      <c r="D17" s="4">
        <f t="shared" si="0"/>
        <v>122.71001499537377</v>
      </c>
      <c r="E17" s="5">
        <v>1.6607925000000001E-3</v>
      </c>
      <c r="F17" s="22">
        <f t="shared" si="1"/>
        <v>7.7218208602002223</v>
      </c>
      <c r="M17" s="19">
        <v>1984</v>
      </c>
      <c r="N17" s="18">
        <v>201349.02459711238</v>
      </c>
      <c r="O17">
        <f t="shared" si="2"/>
        <v>1.0200020358306185</v>
      </c>
    </row>
    <row r="18" spans="1:23" ht="15" customHeight="1" x14ac:dyDescent="0.25">
      <c r="A18" s="3">
        <v>1986</v>
      </c>
      <c r="B18" s="10">
        <v>267608.7</v>
      </c>
      <c r="C18" s="3" t="s">
        <v>6</v>
      </c>
      <c r="D18" s="4">
        <f>D17</f>
        <v>122.71001499537377</v>
      </c>
      <c r="E18" s="5">
        <v>3.1570041666666667E-3</v>
      </c>
      <c r="F18" s="22">
        <f t="shared" si="1"/>
        <v>1.9009022299093152</v>
      </c>
      <c r="M18" s="19">
        <v>1985</v>
      </c>
      <c r="N18" s="18">
        <v>187351.74596487361</v>
      </c>
      <c r="O18">
        <f t="shared" si="2"/>
        <v>0.9304825108527518</v>
      </c>
    </row>
    <row r="19" spans="1:23" ht="15" customHeight="1" x14ac:dyDescent="0.25">
      <c r="A19" s="3">
        <v>1987</v>
      </c>
      <c r="B19" s="10">
        <v>271052</v>
      </c>
      <c r="C19" s="3" t="s">
        <v>6</v>
      </c>
      <c r="D19" s="4">
        <f t="shared" ref="D19:D22" si="3">$D$17*(B19/$B$18)</f>
        <v>124.28891506339684</v>
      </c>
      <c r="E19" s="5">
        <v>7.3032416666666657E-3</v>
      </c>
      <c r="F19" s="22">
        <f t="shared" si="1"/>
        <v>2.3133455900306328</v>
      </c>
      <c r="M19" s="19">
        <v>1986</v>
      </c>
      <c r="N19" s="18">
        <v>200726.11957615431</v>
      </c>
      <c r="O19">
        <f t="shared" si="2"/>
        <v>1.071386437005974</v>
      </c>
    </row>
    <row r="20" spans="1:23" ht="15" customHeight="1" x14ac:dyDescent="0.25">
      <c r="A20" s="3">
        <v>1988</v>
      </c>
      <c r="B20" s="10">
        <v>264473</v>
      </c>
      <c r="C20" s="3" t="s">
        <v>6</v>
      </c>
      <c r="D20" s="4">
        <f t="shared" si="3"/>
        <v>121.27216266089812</v>
      </c>
      <c r="E20" s="11">
        <v>3.2350000000000004E-2</v>
      </c>
      <c r="F20" s="22">
        <f t="shared" si="1"/>
        <v>4.4295398504545371</v>
      </c>
      <c r="M20" s="19">
        <v>1987</v>
      </c>
      <c r="N20" s="18">
        <v>205926.37181563661</v>
      </c>
      <c r="O20">
        <f t="shared" si="2"/>
        <v>1.0259072025626907</v>
      </c>
    </row>
    <row r="21" spans="1:23" ht="15" customHeight="1" x14ac:dyDescent="0.25">
      <c r="A21" s="3">
        <v>1989</v>
      </c>
      <c r="B21" s="10">
        <v>253410</v>
      </c>
      <c r="C21" s="3" t="s">
        <v>6</v>
      </c>
      <c r="D21" s="4">
        <f t="shared" si="3"/>
        <v>116.19930480577673</v>
      </c>
      <c r="E21" s="11">
        <v>1.0285535833333335</v>
      </c>
      <c r="F21" s="22">
        <f t="shared" si="1"/>
        <v>31.794546625450799</v>
      </c>
      <c r="M21" s="19">
        <v>1988</v>
      </c>
      <c r="N21" s="18">
        <v>202022.16389395422</v>
      </c>
      <c r="O21">
        <f t="shared" si="2"/>
        <v>0.9810407579793724</v>
      </c>
    </row>
    <row r="22" spans="1:23" ht="15" customHeight="1" x14ac:dyDescent="0.25">
      <c r="A22" s="3">
        <v>1990</v>
      </c>
      <c r="B22" s="10">
        <v>253627</v>
      </c>
      <c r="C22" s="3" t="s">
        <v>6</v>
      </c>
      <c r="D22" s="4">
        <f t="shared" si="3"/>
        <v>116.29880857099063</v>
      </c>
      <c r="E22" s="12">
        <v>24.828900000000001</v>
      </c>
      <c r="F22" s="22">
        <f t="shared" si="1"/>
        <v>24.139627144688539</v>
      </c>
      <c r="M22" s="19">
        <v>1989</v>
      </c>
      <c r="N22" s="18">
        <v>188010.819664468</v>
      </c>
      <c r="O22">
        <f t="shared" si="2"/>
        <v>0.93064451959419126</v>
      </c>
    </row>
    <row r="23" spans="1:23" ht="15" customHeight="1" x14ac:dyDescent="0.25">
      <c r="A23" s="3">
        <v>1991</v>
      </c>
      <c r="B23" s="13">
        <v>6485506.9469233276</v>
      </c>
      <c r="C23" s="3" t="s">
        <v>7</v>
      </c>
      <c r="D23" s="4">
        <f>D22</f>
        <v>116.29880857099063</v>
      </c>
      <c r="E23" s="12">
        <v>67.453100000000006</v>
      </c>
      <c r="F23" s="22">
        <f t="shared" si="1"/>
        <v>2.7167172126030557</v>
      </c>
      <c r="M23" s="20">
        <v>1990</v>
      </c>
      <c r="N23" s="18">
        <v>184568.76708091571</v>
      </c>
      <c r="O23">
        <f t="shared" si="2"/>
        <v>0.98169226329795745</v>
      </c>
    </row>
    <row r="24" spans="1:23" ht="15" customHeight="1" x14ac:dyDescent="0.25">
      <c r="A24" s="3">
        <v>1992</v>
      </c>
      <c r="B24" s="13">
        <v>7035025.5867938362</v>
      </c>
      <c r="C24" s="3" t="s">
        <v>7</v>
      </c>
      <c r="D24" s="4">
        <f t="shared" ref="D24:D54" si="4">$D$22*(B24/$B$23)</f>
        <v>126.15283596275975</v>
      </c>
      <c r="E24" s="12">
        <v>84.248900000000006</v>
      </c>
      <c r="F24" s="22">
        <f t="shared" si="1"/>
        <v>1.2489996753299699</v>
      </c>
      <c r="M24" s="19">
        <v>1991</v>
      </c>
      <c r="N24" s="18">
        <v>204093.82543139864</v>
      </c>
      <c r="O24">
        <f t="shared" si="2"/>
        <v>1.1057874452936183</v>
      </c>
    </row>
    <row r="25" spans="1:23" ht="15" customHeight="1" x14ac:dyDescent="0.25">
      <c r="A25" s="3">
        <v>1993</v>
      </c>
      <c r="B25" s="13">
        <v>7761508.2247009035</v>
      </c>
      <c r="C25" s="3" t="s">
        <v>7</v>
      </c>
      <c r="D25" s="4">
        <f t="shared" si="4"/>
        <v>139.18020081296368</v>
      </c>
      <c r="E25" s="12">
        <v>93.188999999999993</v>
      </c>
      <c r="F25" s="22">
        <f t="shared" si="1"/>
        <v>1.1061153320696173</v>
      </c>
      <c r="M25" s="19">
        <v>1992</v>
      </c>
      <c r="N25" s="18">
        <v>223701.26799433088</v>
      </c>
      <c r="O25">
        <f t="shared" si="2"/>
        <v>1.0960707288497702</v>
      </c>
    </row>
    <row r="26" spans="1:23" ht="15" customHeight="1" x14ac:dyDescent="0.25">
      <c r="A26" s="3">
        <v>1994</v>
      </c>
      <c r="B26" s="13">
        <v>8098028.310572112</v>
      </c>
      <c r="C26" s="3" t="s">
        <v>7</v>
      </c>
      <c r="D26" s="4">
        <f t="shared" si="4"/>
        <v>145.21471521057683</v>
      </c>
      <c r="E26" s="12">
        <v>97.081800000000001</v>
      </c>
      <c r="F26" s="22">
        <f t="shared" si="1"/>
        <v>1.0417731706531888</v>
      </c>
      <c r="M26" s="19">
        <v>1993</v>
      </c>
      <c r="N26" s="18">
        <v>236504.9802315725</v>
      </c>
      <c r="O26">
        <f t="shared" si="2"/>
        <v>1.0572357606733194</v>
      </c>
      <c r="P26" s="14"/>
      <c r="Q26" s="14"/>
      <c r="R26" s="14"/>
      <c r="S26" s="14"/>
      <c r="T26" s="14"/>
      <c r="U26" s="14"/>
      <c r="V26" s="14"/>
      <c r="W26" s="14"/>
    </row>
    <row r="27" spans="1:23" ht="15" customHeight="1" x14ac:dyDescent="0.25">
      <c r="A27" s="3">
        <v>1995</v>
      </c>
      <c r="B27" s="13">
        <v>7908811.3856461942</v>
      </c>
      <c r="C27" s="3" t="s">
        <v>7</v>
      </c>
      <c r="D27" s="4">
        <f t="shared" si="4"/>
        <v>141.82165694844821</v>
      </c>
      <c r="E27" s="12">
        <v>100.35939999999999</v>
      </c>
      <c r="F27" s="22">
        <f t="shared" si="1"/>
        <v>1.0337612199196966</v>
      </c>
      <c r="M27" s="19">
        <v>1994</v>
      </c>
      <c r="N27" s="18">
        <v>250307.88553631518</v>
      </c>
      <c r="O27">
        <f t="shared" si="2"/>
        <v>1.0583620069701181</v>
      </c>
    </row>
    <row r="28" spans="1:23" ht="43.5" x14ac:dyDescent="0.25">
      <c r="A28" s="3">
        <v>1996</v>
      </c>
      <c r="B28" s="13">
        <v>8135361.8772270568</v>
      </c>
      <c r="C28" s="3" t="s">
        <v>7</v>
      </c>
      <c r="D28" s="4">
        <f t="shared" si="4"/>
        <v>145.88418474583582</v>
      </c>
      <c r="E28" s="12">
        <v>100.51560000000001</v>
      </c>
      <c r="F28" s="22">
        <f t="shared" si="1"/>
        <v>1.0015564062758446</v>
      </c>
      <c r="M28" s="19">
        <v>1995</v>
      </c>
      <c r="N28" s="18">
        <v>243186.10151946038</v>
      </c>
      <c r="O28">
        <f t="shared" si="2"/>
        <v>0.97154790388806367</v>
      </c>
    </row>
    <row r="29" spans="1:23" ht="43.5" x14ac:dyDescent="0.25">
      <c r="A29" s="3">
        <v>1997</v>
      </c>
      <c r="B29" s="13">
        <v>8905959.4449048098</v>
      </c>
      <c r="C29" s="3" t="s">
        <v>7</v>
      </c>
      <c r="D29" s="4">
        <f t="shared" si="4"/>
        <v>159.70262326453033</v>
      </c>
      <c r="E29" s="12">
        <v>101.04689999999999</v>
      </c>
      <c r="F29" s="22">
        <f t="shared" si="1"/>
        <v>1.005285746690066</v>
      </c>
      <c r="M29" s="19">
        <v>1996</v>
      </c>
      <c r="N29" s="18">
        <v>256626.24305584718</v>
      </c>
      <c r="O29">
        <f t="shared" si="2"/>
        <v>1.0552668982824716</v>
      </c>
    </row>
    <row r="30" spans="1:23" ht="43.5" x14ac:dyDescent="0.25">
      <c r="A30" s="3">
        <v>1998</v>
      </c>
      <c r="B30" s="13">
        <v>9488295.9322833791</v>
      </c>
      <c r="C30" s="3" t="s">
        <v>7</v>
      </c>
      <c r="D30" s="4">
        <f t="shared" si="4"/>
        <v>170.14514382981497</v>
      </c>
      <c r="E30" s="12">
        <v>101.9813</v>
      </c>
      <c r="F30" s="22">
        <f t="shared" si="1"/>
        <v>1.0092471911557901</v>
      </c>
      <c r="M30" s="19">
        <v>1997</v>
      </c>
      <c r="N30" s="18">
        <v>277441.31762238021</v>
      </c>
      <c r="O30">
        <f t="shared" si="2"/>
        <v>1.0811104675760042</v>
      </c>
    </row>
    <row r="31" spans="1:23" ht="43.5" x14ac:dyDescent="0.25">
      <c r="A31" s="3">
        <v>1999</v>
      </c>
      <c r="B31" s="13">
        <v>9252615.1693661101</v>
      </c>
      <c r="C31" s="3" t="s">
        <v>7</v>
      </c>
      <c r="D31" s="4">
        <f t="shared" si="4"/>
        <v>165.91889102418298</v>
      </c>
      <c r="E31" s="12">
        <v>100.7915</v>
      </c>
      <c r="F31" s="22">
        <f t="shared" si="1"/>
        <v>0.98833315519609966</v>
      </c>
      <c r="M31" s="19">
        <v>1998</v>
      </c>
      <c r="N31" s="18">
        <v>288122.8046077239</v>
      </c>
      <c r="O31">
        <f t="shared" si="2"/>
        <v>1.0384999865084337</v>
      </c>
    </row>
    <row r="32" spans="1:23" ht="43.5" x14ac:dyDescent="0.25">
      <c r="A32" s="3">
        <v>2000</v>
      </c>
      <c r="B32" s="13">
        <v>9002038.4513383135</v>
      </c>
      <c r="C32" s="3" t="s">
        <v>7</v>
      </c>
      <c r="D32" s="4">
        <f t="shared" si="4"/>
        <v>161.42552234834085</v>
      </c>
      <c r="E32" s="12">
        <v>99.844899999999996</v>
      </c>
      <c r="F32" s="22">
        <f t="shared" si="1"/>
        <v>0.99060833502825141</v>
      </c>
      <c r="M32" s="19">
        <v>1999</v>
      </c>
      <c r="N32" s="18">
        <v>278369.01387171785</v>
      </c>
      <c r="O32">
        <f t="shared" si="2"/>
        <v>0.96614710609496623</v>
      </c>
    </row>
    <row r="33" spans="1:24" ht="43.5" x14ac:dyDescent="0.25">
      <c r="A33" s="3">
        <v>2001</v>
      </c>
      <c r="B33" s="13">
        <v>8322993.4966704417</v>
      </c>
      <c r="C33" s="3" t="s">
        <v>7</v>
      </c>
      <c r="D33" s="4">
        <f t="shared" si="4"/>
        <v>149.24881513943413</v>
      </c>
      <c r="E33" s="15">
        <v>98.781666666666652</v>
      </c>
      <c r="F33" s="22">
        <f t="shared" si="1"/>
        <v>0.98935115030078313</v>
      </c>
      <c r="M33" s="20">
        <v>2000</v>
      </c>
      <c r="N33" s="18">
        <v>276172.18535265006</v>
      </c>
      <c r="O33">
        <f t="shared" si="2"/>
        <v>0.99210821460149956</v>
      </c>
    </row>
    <row r="34" spans="1:24" ht="43.5" x14ac:dyDescent="0.25">
      <c r="A34" s="3">
        <v>2002</v>
      </c>
      <c r="B34" s="13">
        <v>7772198.0394271128</v>
      </c>
      <c r="C34" s="3" t="s">
        <v>7</v>
      </c>
      <c r="D34" s="4">
        <f t="shared" si="4"/>
        <v>139.37189172111891</v>
      </c>
      <c r="E34" s="15">
        <v>124.33499999999999</v>
      </c>
      <c r="F34" s="22">
        <f t="shared" si="1"/>
        <v>1.2586849786566334</v>
      </c>
      <c r="M34" s="19">
        <v>2001</v>
      </c>
      <c r="N34" s="18">
        <v>263995.67436681729</v>
      </c>
      <c r="O34">
        <f t="shared" si="2"/>
        <v>0.95590971273850645</v>
      </c>
    </row>
    <row r="35" spans="1:24" ht="43.5" x14ac:dyDescent="0.25">
      <c r="A35" s="3">
        <v>2003</v>
      </c>
      <c r="B35" s="13">
        <v>9339929.5945354141</v>
      </c>
      <c r="C35" s="3" t="s">
        <v>7</v>
      </c>
      <c r="D35" s="4">
        <f t="shared" si="4"/>
        <v>167.48462269348113</v>
      </c>
      <c r="E35" s="15">
        <v>141.05000000000001</v>
      </c>
      <c r="F35" s="22">
        <f t="shared" si="1"/>
        <v>1.13443519523867</v>
      </c>
      <c r="M35" s="19">
        <v>2002</v>
      </c>
      <c r="N35" s="18">
        <v>235234.59675290697</v>
      </c>
      <c r="O35">
        <f t="shared" si="2"/>
        <v>0.89105473912444755</v>
      </c>
    </row>
    <row r="36" spans="1:24" ht="43.5" x14ac:dyDescent="0.25">
      <c r="A36" s="3">
        <v>2004</v>
      </c>
      <c r="B36" s="16">
        <v>10874929.097083896</v>
      </c>
      <c r="C36" s="3" t="s">
        <v>7</v>
      </c>
      <c r="D36" s="4">
        <f t="shared" si="4"/>
        <v>195.01039897657333</v>
      </c>
      <c r="E36" s="15">
        <v>147.28</v>
      </c>
      <c r="F36" s="22">
        <f t="shared" si="1"/>
        <v>1.0441687344913151</v>
      </c>
      <c r="M36" s="19">
        <v>2003</v>
      </c>
      <c r="N36" s="18">
        <v>256022.46524751041</v>
      </c>
      <c r="O36">
        <f t="shared" si="2"/>
        <v>1.0883707957143705</v>
      </c>
    </row>
    <row r="37" spans="1:24" ht="43.5" x14ac:dyDescent="0.25">
      <c r="A37" s="3">
        <v>2005</v>
      </c>
      <c r="B37" s="16">
        <v>11380763.411127962</v>
      </c>
      <c r="C37" s="3" t="s">
        <v>7</v>
      </c>
      <c r="D37" s="4">
        <f t="shared" si="4"/>
        <v>204.08107433612355</v>
      </c>
      <c r="E37" s="15">
        <v>167.48</v>
      </c>
      <c r="F37" s="22">
        <f t="shared" si="1"/>
        <v>1.1371537208039109</v>
      </c>
      <c r="M37" s="19">
        <v>2004</v>
      </c>
      <c r="N37" s="18">
        <v>279020</v>
      </c>
      <c r="O37">
        <f t="shared" si="2"/>
        <v>1.0898262374368464</v>
      </c>
    </row>
    <row r="38" spans="1:24" ht="43.5" x14ac:dyDescent="0.25">
      <c r="A38" s="3">
        <v>2006</v>
      </c>
      <c r="B38" s="16">
        <v>12259303.976933869</v>
      </c>
      <c r="C38" s="3" t="s">
        <v>7</v>
      </c>
      <c r="D38" s="4">
        <f t="shared" si="4"/>
        <v>219.83515831455196</v>
      </c>
      <c r="E38" s="15">
        <v>179.08</v>
      </c>
      <c r="F38" s="22">
        <f t="shared" si="1"/>
        <v>1.069262001433007</v>
      </c>
    </row>
    <row r="39" spans="1:24" ht="43.5" x14ac:dyDescent="0.25">
      <c r="A39" s="3">
        <v>2007</v>
      </c>
      <c r="B39" s="16">
        <v>12770718.617713338</v>
      </c>
      <c r="C39" s="3" t="s">
        <v>7</v>
      </c>
      <c r="D39" s="4">
        <f t="shared" si="4"/>
        <v>229.00590069370071</v>
      </c>
      <c r="E39" s="15">
        <v>194.89</v>
      </c>
      <c r="F39" s="22">
        <f t="shared" si="1"/>
        <v>1.0882845655572926</v>
      </c>
    </row>
    <row r="40" spans="1:24" ht="43.5" x14ac:dyDescent="0.25">
      <c r="A40" s="3">
        <v>2008</v>
      </c>
      <c r="B40" s="16">
        <v>13065173.97313641</v>
      </c>
      <c r="C40" s="3" t="s">
        <v>7</v>
      </c>
      <c r="D40" s="4">
        <f t="shared" si="4"/>
        <v>234.28610581772668</v>
      </c>
      <c r="E40" s="15">
        <v>211.61661758333335</v>
      </c>
      <c r="F40" s="22">
        <f t="shared" si="1"/>
        <v>1.0858259407015924</v>
      </c>
    </row>
    <row r="41" spans="1:24" ht="43.5" x14ac:dyDescent="0.25">
      <c r="A41" s="3">
        <v>2009</v>
      </c>
      <c r="B41" s="16">
        <v>12700761.719855074</v>
      </c>
      <c r="C41" s="3" t="s">
        <v>7</v>
      </c>
      <c r="D41" s="4">
        <f t="shared" si="4"/>
        <v>227.75142607223748</v>
      </c>
      <c r="E41" s="15">
        <v>224.88780650000001</v>
      </c>
      <c r="F41" s="22">
        <f t="shared" si="1"/>
        <v>1.0627133590368467</v>
      </c>
    </row>
    <row r="42" spans="1:24" ht="43.5" x14ac:dyDescent="0.25">
      <c r="A42" s="3">
        <v>2010</v>
      </c>
      <c r="B42" s="16">
        <v>13262431.723353179</v>
      </c>
      <c r="C42" s="3" t="s">
        <v>7</v>
      </c>
      <c r="D42" s="4">
        <f t="shared" si="4"/>
        <v>237.82335302435985</v>
      </c>
      <c r="E42" s="15">
        <v>248.41401550000003</v>
      </c>
      <c r="F42" s="22">
        <f t="shared" si="1"/>
        <v>1.1046130929290736</v>
      </c>
    </row>
    <row r="43" spans="1:24" ht="43.5" x14ac:dyDescent="0.25">
      <c r="A43" s="3">
        <v>2011</v>
      </c>
      <c r="B43" s="16">
        <v>13739583.703819767</v>
      </c>
      <c r="C43" s="3" t="s">
        <v>7</v>
      </c>
      <c r="D43" s="4">
        <f t="shared" si="4"/>
        <v>246.37969369127993</v>
      </c>
      <c r="E43" s="15">
        <v>272.69744600000001</v>
      </c>
      <c r="F43" s="22">
        <f t="shared" si="1"/>
        <v>1.0977538664681341</v>
      </c>
    </row>
    <row r="44" spans="1:24" ht="43.5" x14ac:dyDescent="0.25">
      <c r="A44" s="3">
        <v>2012</v>
      </c>
      <c r="B44" s="16">
        <v>13545085.639384663</v>
      </c>
      <c r="C44" s="3" t="s">
        <v>7</v>
      </c>
      <c r="D44" s="4">
        <f t="shared" si="4"/>
        <v>242.89193346709314</v>
      </c>
      <c r="E44" s="15">
        <v>300.08478674999998</v>
      </c>
      <c r="F44" s="22">
        <f t="shared" si="1"/>
        <v>1.1004312330449915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43.5" x14ac:dyDescent="0.25">
      <c r="A45" s="3">
        <v>2013</v>
      </c>
      <c r="B45" s="16">
        <v>14211513.62051825</v>
      </c>
      <c r="C45" s="3" t="s">
        <v>7</v>
      </c>
      <c r="D45" s="4">
        <f t="shared" si="4"/>
        <v>254.8423917486889</v>
      </c>
      <c r="E45" s="15">
        <v>331.95090075000002</v>
      </c>
      <c r="F45" s="22">
        <f t="shared" si="1"/>
        <v>1.1061903682126599</v>
      </c>
      <c r="M45" s="14"/>
      <c r="N45" s="14"/>
    </row>
    <row r="46" spans="1:24" ht="43.5" x14ac:dyDescent="0.25">
      <c r="A46" s="3">
        <v>2014</v>
      </c>
      <c r="B46" s="16">
        <v>13687924.078647634</v>
      </c>
      <c r="C46" s="3" t="s">
        <v>7</v>
      </c>
      <c r="D46" s="4">
        <f t="shared" si="4"/>
        <v>245.4533277328573</v>
      </c>
      <c r="E46" s="4"/>
      <c r="F46" s="22"/>
    </row>
    <row r="47" spans="1:24" ht="43.5" x14ac:dyDescent="0.25">
      <c r="A47" s="3">
        <v>2015</v>
      </c>
      <c r="B47" s="16">
        <v>14189502.676873595</v>
      </c>
      <c r="C47" s="3" t="s">
        <v>7</v>
      </c>
      <c r="D47" s="4">
        <f t="shared" si="4"/>
        <v>254.44768913833843</v>
      </c>
      <c r="E47" s="4"/>
      <c r="F47" s="22"/>
      <c r="O47" s="14"/>
    </row>
    <row r="48" spans="1:24" ht="43.5" x14ac:dyDescent="0.25">
      <c r="A48" s="3">
        <v>2016</v>
      </c>
      <c r="B48" s="16">
        <v>13373002.759948755</v>
      </c>
      <c r="C48" s="3" t="s">
        <v>7</v>
      </c>
      <c r="D48" s="4">
        <f t="shared" si="4"/>
        <v>239.80612475273261</v>
      </c>
      <c r="E48" s="4"/>
      <c r="F48" s="22"/>
      <c r="O48" s="14"/>
    </row>
    <row r="49" spans="1:15" ht="43.5" x14ac:dyDescent="0.25">
      <c r="A49" s="3">
        <v>2017</v>
      </c>
      <c r="B49" s="16">
        <v>13655492.409271004</v>
      </c>
      <c r="C49" s="3" t="s">
        <v>7</v>
      </c>
      <c r="D49" s="4">
        <f t="shared" si="4"/>
        <v>244.87175954715681</v>
      </c>
      <c r="E49" s="4"/>
      <c r="F49" s="22"/>
      <c r="O49" s="14"/>
    </row>
    <row r="50" spans="1:15" ht="43.5" x14ac:dyDescent="0.25">
      <c r="A50" s="3">
        <v>2018</v>
      </c>
      <c r="B50" s="16">
        <v>13585607.412423011</v>
      </c>
      <c r="C50" s="3" t="s">
        <v>7</v>
      </c>
      <c r="D50" s="4">
        <f t="shared" si="4"/>
        <v>243.61857426234812</v>
      </c>
      <c r="E50" s="4"/>
      <c r="F50" s="22"/>
      <c r="O50" s="14"/>
    </row>
    <row r="51" spans="1:15" ht="43.5" x14ac:dyDescent="0.25">
      <c r="A51" s="3">
        <v>2019</v>
      </c>
      <c r="B51" s="16">
        <v>13410851.44597216</v>
      </c>
      <c r="C51" s="3" t="s">
        <v>7</v>
      </c>
      <c r="D51" s="4">
        <f t="shared" si="4"/>
        <v>240.48483146394625</v>
      </c>
      <c r="E51" s="4"/>
      <c r="F51" s="22"/>
      <c r="O51" s="14"/>
    </row>
    <row r="52" spans="1:15" ht="43.5" x14ac:dyDescent="0.25">
      <c r="A52" s="3">
        <v>2020</v>
      </c>
      <c r="B52" s="16">
        <v>12342645.880973661</v>
      </c>
      <c r="C52" s="3" t="s">
        <v>7</v>
      </c>
      <c r="D52" s="4">
        <f t="shared" si="4"/>
        <v>221.32965430741552</v>
      </c>
      <c r="E52" s="4"/>
      <c r="F52" s="22"/>
      <c r="O52" s="14"/>
    </row>
    <row r="53" spans="1:15" ht="43.5" x14ac:dyDescent="0.25">
      <c r="A53" s="3">
        <v>2021</v>
      </c>
      <c r="B53" s="16">
        <v>13635887.646933109</v>
      </c>
      <c r="C53" s="3" t="s">
        <v>7</v>
      </c>
      <c r="D53" s="4">
        <f t="shared" si="4"/>
        <v>244.52020483896297</v>
      </c>
      <c r="E53" s="4"/>
      <c r="F53" s="22"/>
      <c r="O53" s="14"/>
    </row>
    <row r="54" spans="1:15" ht="43.5" x14ac:dyDescent="0.25">
      <c r="A54" s="3">
        <v>2022</v>
      </c>
      <c r="B54" s="16">
        <v>14178694.442281883</v>
      </c>
      <c r="C54" s="3" t="s">
        <v>7</v>
      </c>
      <c r="D54" s="4">
        <f t="shared" si="4"/>
        <v>254.25387471241018</v>
      </c>
      <c r="E54" s="4"/>
      <c r="F54" s="22"/>
      <c r="O54" s="14"/>
    </row>
    <row r="55" spans="1:15" x14ac:dyDescent="0.25">
      <c r="O55" s="14"/>
    </row>
    <row r="56" spans="1:15" x14ac:dyDescent="0.25">
      <c r="O56" s="14"/>
    </row>
    <row r="57" spans="1:15" x14ac:dyDescent="0.25">
      <c r="O57" s="14"/>
    </row>
    <row r="58" spans="1:15" x14ac:dyDescent="0.25">
      <c r="O58" s="14"/>
    </row>
    <row r="59" spans="1:15" x14ac:dyDescent="0.25">
      <c r="O59" s="14"/>
    </row>
    <row r="60" spans="1:15" x14ac:dyDescent="0.25">
      <c r="O60" s="14"/>
    </row>
    <row r="61" spans="1:15" x14ac:dyDescent="0.25">
      <c r="O61" s="14"/>
    </row>
    <row r="62" spans="1:15" x14ac:dyDescent="0.25">
      <c r="O62" s="14"/>
    </row>
    <row r="63" spans="1:15" x14ac:dyDescent="0.25">
      <c r="O63" s="14"/>
    </row>
    <row r="64" spans="1:15" x14ac:dyDescent="0.25">
      <c r="O64" s="14"/>
    </row>
    <row r="65" spans="15:15" x14ac:dyDescent="0.25">
      <c r="O65" s="1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Evolución PBG MZA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Olguin</dc:creator>
  <cp:lastModifiedBy>Facundo Matzkin</cp:lastModifiedBy>
  <dcterms:created xsi:type="dcterms:W3CDTF">2021-12-22T20:32:41Z</dcterms:created>
  <dcterms:modified xsi:type="dcterms:W3CDTF">2026-08-20T19:33:44Z</dcterms:modified>
</cp:coreProperties>
</file>